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a93e75f5b41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111db3ad5004f69"/>
    <x:sheet xmlns:r="http://schemas.openxmlformats.org/officeDocument/2006/relationships" name="Historical Financials" sheetId="2" r:id="Red483286c36a4e38"/>
    <x:sheet xmlns:r="http://schemas.openxmlformats.org/officeDocument/2006/relationships" name="Ratio Analysis" sheetId="3" r:id="Rf27be0ef12ef42fb"/>
    <x:sheet xmlns:r="http://schemas.openxmlformats.org/officeDocument/2006/relationships" name="Forecast Assumptions" sheetId="4" r:id="R001fca44bf4d4ae3"/>
    <x:sheet xmlns:r="http://schemas.openxmlformats.org/officeDocument/2006/relationships" name="Forecast Output" sheetId="5" r:id="R0a509b35d2704aa0"/>
    <x:sheet xmlns:r="http://schemas.openxmlformats.org/officeDocument/2006/relationships" name="Sources" sheetId="6" r:id="Rf431ee2bb81941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;[Red]($#,##0);-"/>
    <x:numFmt numFmtId="201" formatCode="$0.00;[Red]($0.00);-"/>
    <x:numFmt numFmtId="202" formatCode="0"/>
    <x:numFmt numFmtId="203" formatCode="yyyy-mm-dd"/>
    <x:numFmt numFmtId="204" formatCode="0.0%;[Red](0.0%);-"/>
    <x:numFmt numFmtId="205" formatCode="0.0x;[Red](0.0x);-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i/>
      <x:sz val="11"/>
      <x:color rgb="FF666666"/>
      <x:name val="Carlito"/>
    </x:font>
    <x:font>
      <x:b/>
      <x:sz val="11"/>
      <x:name val="Carlito"/>
    </x:font>
    <x:font>
      <x:b/>
      <x:sz val="14"/>
      <x:color rgb="FF008000"/>
      <x:name val="Carlito"/>
    </x:font>
    <x:font>
      <x:b/>
      <x:sz val="9"/>
      <x:color rgb="FFFFFFFF"/>
      <x:name val="Carlito"/>
    </x:font>
    <x:font>
      <x:sz val="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205" fontId="4" fillId="0" borderId="0" xfId="0" applyNumberFormat="1" applyFont="1" applyFill="1" applyBorder="1"/>
    <x:xf numFmtId="205" fontId="4" fillId="0" borderId="1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204" fontId="3" fillId="5" borderId="0" xfId="0" applyNumberFormat="1" applyFont="1" applyFill="1" applyBorder="1"/>
    <x:xf numFmtId="204" fontId="3" fillId="5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200" fontId="8" fillId="0" borderId="0" xfId="0" applyNumberFormat="1" applyFont="1" applyFill="1" applyBorder="1" applyAlignment="1">
      <x:alignment horizontal="center"/>
    </x:xf>
    <x:xf numFmtId="200" fontId="8" fillId="0" borderId="1" xfId="0" applyNumberFormat="1" applyFont="1" applyFill="1" applyBorder="1" applyAlignment="1">
      <x:alignment horizontal="center"/>
    </x:xf>
    <x:xf numFmtId="204" fontId="8" fillId="0" borderId="0" xfId="0" applyNumberFormat="1" applyFont="1" applyFill="1" applyBorder="1" applyAlignment="1">
      <x:alignment horizontal="center"/>
    </x:xf>
    <x:xf numFmtId="204" fontId="8" fillId="0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9" fillId="3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200" fontId="10" fillId="0" borderId="0" xfId="0" applyNumberFormat="1" applyFont="1" applyFill="1" applyBorder="1"/>
    <x:xf numFmtId="0" fontId="9" fillId="3" borderId="1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/>
    <x:xf numFmtId="200" fontId="1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horizontal="center" vertical="center"/>
    </x:xf>
    <x:xf numFmtId="200" fontId="8" fillId="0" borderId="0" xfId="0" applyNumberFormat="1" applyFont="1" applyFill="1" applyBorder="1" applyAlignment="1">
      <x:alignment horizontal="center" vertical="center"/>
    </x:xf>
    <x:xf numFmtId="204" fontId="8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10" fillId="0" borderId="1" xfId="0" applyNumberFormat="1" applyFont="1" applyFill="1" applyBorder="1" applyAlignment="1">
      <x:alignment vertical="center"/>
    </x:xf>
    <x:xf numFmtId="200" fontId="10" fillId="0" borderId="1" xfId="0" applyNumberFormat="1" applyFont="1" applyFill="1" applyBorder="1" applyAlignment="1">
      <x:alignment vertical="center"/>
    </x:xf>
    <x:xf numFmtId="0" fontId="7" fillId="6" borderId="1" xfId="0" applyNumberFormat="1" applyFont="1" applyFill="1" applyBorder="1" applyAlignment="1">
      <x:alignment horizontal="center" vertical="center"/>
    </x:xf>
    <x:xf numFmtId="200" fontId="8" fillId="0" borderId="1" xfId="0" applyNumberFormat="1" applyFont="1" applyFill="1" applyBorder="1" applyAlignment="1">
      <x:alignment horizontal="center" vertical="center"/>
    </x:xf>
    <x:xf numFmtId="204" fontId="8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204" fontId="4" fillId="0" borderId="1" xfId="0" applyNumberFormat="1" applyFont="1" applyFill="1" applyBorder="1" applyAlignment="1">
      <x:alignment vertical="center"/>
    </x:xf>
    <x:xf numFmtId="205" fontId="4" fillId="0" borderId="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4" fontId="3" fillId="5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4" fontId="3" fillId="5" borderId="1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0d9418e674225" /><Relationship Type="http://schemas.openxmlformats.org/officeDocument/2006/relationships/theme" Target="/xl/theme/theme1.xml" Id="R807d65aec7ee43b0" /><Relationship Type="http://schemas.openxmlformats.org/officeDocument/2006/relationships/sharedStrings" Target="/xl/sharedStrings.xml" Id="R82a2a431980b46c5" /><Relationship Type="http://schemas.openxmlformats.org/officeDocument/2006/relationships/worksheet" Target="/xl/worksheets/sheet1.xml" Id="R7111db3ad5004f69" /><Relationship Type="http://schemas.openxmlformats.org/officeDocument/2006/relationships/worksheet" Target="/xl/worksheets/sheet2.xml" Id="Red483286c36a4e38" /><Relationship Type="http://schemas.openxmlformats.org/officeDocument/2006/relationships/worksheet" Target="/xl/worksheets/sheet3.xml" Id="Rf27be0ef12ef42fb" /><Relationship Type="http://schemas.openxmlformats.org/officeDocument/2006/relationships/worksheet" Target="/xl/worksheets/sheet4.xml" Id="R001fca44bf4d4ae3" /><Relationship Type="http://schemas.openxmlformats.org/officeDocument/2006/relationships/worksheet" Target="/xl/worksheets/sheet5.xml" Id="R0a509b35d2704aa0" /><Relationship Type="http://schemas.openxmlformats.org/officeDocument/2006/relationships/worksheet" Target="/xl/worksheets/sheet6.xml" Id="Rf431ee2bb81941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ea56478d9644ab" /><Relationship Type="http://schemas.openxmlformats.org/officeDocument/2006/relationships/chart" Target="/xl/drawings/charts/chart2.xml" Id="R881eeb384f17478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Historical Revenue, Net Income &amp; Free Cash Flow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 ($mm)</c:v>
          </c:tx>
          <c:cat>
            <c:strRef>
              <c:f>'Dashboard'!$J$4:$J$8</c:f>
              <c:strCache>
                <c:ptCount val="0"/>
              </c:strCache>
            </c:strRef>
          </c:cat>
          <c:val>
            <c:numRef>
              <c:f>'Dashboard'!$K$4:$K$8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Net Income ($mm)</c:v>
          </c:tx>
          <c:cat>
            <c:strRef>
              <c:f>'Dashboard'!$J$4:$J$8</c:f>
              <c:strCache>
                <c:ptCount val="0"/>
              </c:strCache>
            </c:strRef>
          </c:cat>
          <c:val>
            <c:numRef>
              <c:f>'Dashboard'!$L$4:$L$8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Free Cash Flow ($mm)</c:v>
          </c:tx>
          <c:cat>
            <c:strRef>
              <c:f>'Dashboard'!$J$4:$J$8</c:f>
              <c:strCache>
                <c:ptCount val="0"/>
              </c:strCache>
            </c:strRef>
          </c:cat>
          <c:val>
            <c:numRef>
              <c:f>'Dashboard'!$M$4:$M$8</c:f>
              <c:numCache>
                <c:formatCode>$#,##0;[Red]($#,##0);-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Forecast by Scenario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Base Case Revenue</c:v>
          </c:tx>
          <c:cat>
            <c:strRef>
              <c:f>'Dashboard'!$O$4:$O$6</c:f>
              <c:strCache>
                <c:ptCount val="0"/>
              </c:strCache>
            </c:strRef>
          </c:cat>
          <c:val>
            <c:numRef>
              <c:f>'Dashboard'!$P$4:$P$6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Upside Case Revenue</c:v>
          </c:tx>
          <c:cat>
            <c:strRef>
              <c:f>'Dashboard'!$O$4:$O$6</c:f>
              <c:strCache>
                <c:ptCount val="0"/>
              </c:strCache>
            </c:strRef>
          </c:cat>
          <c:val>
            <c:numRef>
              <c:f>'Dashboard'!$Q$4:$Q$6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Downside Case Revenue</c:v>
          </c:tx>
          <c:cat>
            <c:strRef>
              <c:f>'Dashboard'!$O$4:$O$6</c:f>
              <c:strCache>
                <c:ptCount val="0"/>
              </c:strCache>
            </c:strRef>
          </c:cat>
          <c:val>
            <c:numRef>
              <c:f>'Dashboard'!$R$4:$R$6</c:f>
              <c:numCache>
                <c:formatCode>$#,##0;[Red]($#,##0);-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ea56478d9644ab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8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1eeb384f17478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istoricalFinancialsTable" displayName="HistoricalFinancialsTable" ref="A3:O8" headerRowCount="1">
  <x:tableColumns count="15">
    <x:tableColumn id="1" name="Fiscal Year"/>
    <x:tableColumn id="2" name="Period End"/>
    <x:tableColumn id="3" name="Revenue ($mm)"/>
    <x:tableColumn id="4" name="Gross Profit ($mm)"/>
    <x:tableColumn id="5" name="Operating Income ($mm)"/>
    <x:tableColumn id="6" name="Net Income ($mm)"/>
    <x:tableColumn id="7" name="Total Assets ($mm)"/>
    <x:tableColumn id="8" name="Total Liabilities ($mm)"/>
    <x:tableColumn id="9" name="Shareholders' Equity ($mm)"/>
    <x:tableColumn id="10" name="Current Assets ($mm)"/>
    <x:tableColumn id="11" name="Current Liabilities ($mm)"/>
    <x:tableColumn id="12" name="Operating Cash Flow ($mm)"/>
    <x:tableColumn id="13" name="Capital Expenditures ($mm)"/>
    <x:tableColumn id="14" name="Free Cash Flow ($mm)"/>
    <x:tableColumn id="15" name="Diluted EPS"/>
  </x:tableColumns>
  <x:tableStyleInfo name="TableStyleMedium2" showRowStripes="1"/>
</x:table>
</file>

<file path=xl/tables/table2.xml><?xml version="1.0" encoding="utf-8"?>
<x:table xmlns:x="http://schemas.openxmlformats.org/spreadsheetml/2006/main" id="2" name="RatioAnalysisTable" displayName="RatioAnalysisTable" ref="A3:K8" headerRowCount="1">
  <x:tableColumns count="11">
    <x:tableColumn id="1" name="Fiscal Year"/>
    <x:tableColumn id="2" name="Revenue Growth %"/>
    <x:tableColumn id="3" name="Gross Margin %"/>
    <x:tableColumn id="4" name="Operating Margin %"/>
    <x:tableColumn id="5" name="Net Margin %"/>
    <x:tableColumn id="6" name="Current Ratio"/>
    <x:tableColumn id="7" name="Debt-to-Equity"/>
    <x:tableColumn id="8" name="FCF Margin %"/>
    <x:tableColumn id="9" name="CapEx % Revenue"/>
    <x:tableColumn id="10" name="ROA %"/>
    <x:tableColumn id="11" name="ROE %"/>
  </x:tableColumns>
  <x:tableStyleInfo name="TableStyleMedium2" showRowStripes="1"/>
</x:table>
</file>

<file path=xl/tables/table3.xml><?xml version="1.0" encoding="utf-8"?>
<x:table xmlns:x="http://schemas.openxmlformats.org/spreadsheetml/2006/main" id="3" name="ForecastAssumptionsTable" displayName="ForecastAssumptionsTable" ref="A4:H13" headerRowCount="1">
  <x:tableColumns count="8">
    <x:tableColumn id="1" name="Scenario"/>
    <x:tableColumn id="2" name="Forecast Year"/>
    <x:tableColumn id="3" name="Revenue Growth %"/>
    <x:tableColumn id="4" name="Gross Margin %"/>
    <x:tableColumn id="5" name="Operating Margin %"/>
    <x:tableColumn id="6" name="Net Margin %"/>
    <x:tableColumn id="7" name="CapEx % Revenue"/>
    <x:tableColumn id="8" name="FCF Margin %"/>
  </x:tableColumns>
  <x:tableStyleInfo name="TableStyleMedium2" showRowStripes="1"/>
</x:table>
</file>

<file path=xl/tables/table4.xml><?xml version="1.0" encoding="utf-8"?>
<x:table xmlns:x="http://schemas.openxmlformats.org/spreadsheetml/2006/main" id="4" name="ForecastOutputTable" displayName="ForecastOutputTable" ref="A4:H13" headerRowCount="1">
  <x:tableColumns count="8">
    <x:tableColumn id="1" name="Scenario"/>
    <x:tableColumn id="2" name="Forecast Year"/>
    <x:tableColumn id="3" name="Revenue ($mm)"/>
    <x:tableColumn id="4" name="Gross Profit ($mm)"/>
    <x:tableColumn id="5" name="Operating Income ($mm)"/>
    <x:tableColumn id="6" name="Net Income ($mm)"/>
    <x:tableColumn id="7" name="Capital Expenditures ($mm)"/>
    <x:tableColumn id="8" name="Free Cash Flow ($mm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ad858cf2b7642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ba4a8f01614c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5648698ee84d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f6252bcf2143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eb2e92290b433d" /></Relationships>
</file>

<file path=xl/worksheets/sheet1.xml><?xml version="1.0" encoding="utf-8"?>
<x:worksheet xmlns:x="http://schemas.openxmlformats.org/spreadsheetml/2006/main">
  <x:sheetFormatPr defaultRowHeight="15"/>
  <x:cols>
    <x:col min="1" max="1" width="59.5" hidden="0" customWidth="1"/>
    <x:col min="2" max="2" width="95.25" hidden="0" customWidth="1"/>
    <x:col min="3" max="3" width="44.880001068115234" hidden="0" customWidth="1"/>
    <x:col min="4" max="4" width="44.880001068115234" hidden="0" customWidth="1"/>
    <x:col min="5" max="5" width="44.880001068115234" hidden="0" customWidth="1"/>
    <x:col min="6" max="6" width="44.880001068115234" hidden="0" customWidth="1"/>
    <x:col min="7" max="7" width="44.880001068115234" hidden="0" customWidth="1"/>
    <x:col min="8" max="8" width="44.880001068115234" hidden="0" customWidth="1"/>
  </x:cols>
  <x:sheetData>
    <x:row r="1">
      <x:c r="A1" s="5" t="str">
        <x:v>Apple Financial Analysis &amp; 3-Year Forecast Dashboard</x:v>
      </x:c>
      <x:c r="B1" s="5"/>
      <x:c r="C1" s="5"/>
      <x:c r="D1" s="5"/>
      <x:c r="E1" s="5"/>
      <x:c r="F1" s="5"/>
      <x:c r="G1" s="5"/>
      <x:c r="H1" s="5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>
      <x:c r="A2" s="87" t="str">
        <x:v>All figures are in $ millions except per-share data and ratios.</x:v>
      </x:c>
      <x:c r="B2" s="87" t="str">
        <x:v>All figures are in $ millions except per-share data and ratios.</x:v>
      </x:c>
      <x:c r="C2" s="87" t="str">
        <x:v>All figures are in $ millions except per-share data and ratios.</x:v>
      </x:c>
      <x:c r="D2" s="87" t="str">
        <x:v>All figures are in $ millions except per-share data and ratios.</x:v>
      </x:c>
      <x:c r="E2" s="87" t="str">
        <x:v>All figures are in $ millions except per-share data and ratios.</x:v>
      </x:c>
      <x:c r="F2" s="87" t="str">
        <x:v>All figures are in $ millions except per-share data and ratios.</x:v>
      </x:c>
      <x:c r="G2" s="87" t="str">
        <x:v>All figures are in $ millions except per-share data and ratios.</x:v>
      </x:c>
      <x:c r="H2" s="87" t="str">
        <x:v>All figures are in $ millions except per-share data and ratios.</x:v>
      </x:c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0" t="str">
        <x:v>Fiscal Year</x:v>
      </x:c>
      <x:c r="K3" s="80" t="str">
        <x:v>Revenue ($mm)</x:v>
      </x:c>
      <x:c r="L3" s="80" t="str">
        <x:v>Net Income ($mm)</x:v>
      </x:c>
      <x:c r="M3" s="80" t="str">
        <x:v>Free Cash Flow ($mm)</x:v>
      </x:c>
      <x:c r="N3" s="88"/>
      <x:c r="O3" s="80" t="str">
        <x:v>Forecast Year</x:v>
      </x:c>
      <x:c r="P3" s="80" t="str">
        <x:v>Base Case Revenue</x:v>
      </x:c>
      <x:c r="Q3" s="80" t="str">
        <x:v>Upside Case Revenue</x:v>
      </x:c>
      <x:c r="R3" s="80" t="str">
        <x:v>Downside Case Revenue</x:v>
      </x:c>
      <x:c r="S3" s="86"/>
      <x:c r="T3" s="86"/>
      <x:c r="U3" s="86"/>
      <x:c r="V3" s="86"/>
      <x:c r="W3" s="86"/>
      <x:c r="X3" s="86"/>
      <x:c r="Y3" s="86"/>
      <x:c r="Z3" s="86"/>
    </x:row>
    <x:row r="4">
      <x:c r="A4" s="54" t="str">
        <x:v>Executive KPI Snapshot</x:v>
      </x:c>
      <x:c r="B4" s="54"/>
      <x:c r="C4" s="54"/>
      <x:c r="D4" s="54"/>
      <x:c r="E4" s="54"/>
      <x:c r="F4" s="54"/>
      <x:c r="G4" s="54"/>
      <x:c r="H4" s="54"/>
      <x:c r="I4" s="86"/>
      <x:c r="J4" s="88" t="n">
        <x:f>'Historical Financials'!A4</x:f>
        <x:v>2021</x:v>
      </x:c>
      <x:c r="K4" s="89" t="n">
        <x:f>'Historical Financials'!C4</x:f>
        <x:v>365817</x:v>
      </x:c>
      <x:c r="L4" s="89" t="n">
        <x:f>'Historical Financials'!F4</x:f>
        <x:v>94680</x:v>
      </x:c>
      <x:c r="M4" s="89" t="n">
        <x:f>'Historical Financials'!N4</x:f>
        <x:v>92953</x:v>
      </x:c>
      <x:c r="N4" s="88"/>
      <x:c r="O4" s="88" t="n">
        <x:f>'Forecast Output'!B5</x:f>
        <x:v>2026</x:v>
      </x:c>
      <x:c r="P4" s="89" t="n">
        <x:f>'Forecast Output'!C5</x:f>
        <x:v>436969.05000000005</x:v>
      </x:c>
      <x:c r="Q4" s="89" t="n">
        <x:f>'Forecast Output'!C8</x:f>
        <x:v>445292.27</x:v>
      </x:c>
      <x:c r="R4" s="89" t="n">
        <x:f>'Forecast Output'!C11</x:f>
        <x:v>424484.22000000003</x:v>
      </x:c>
      <x:c r="S4" s="86"/>
      <x:c r="T4" s="86"/>
      <x:c r="U4" s="86"/>
      <x:c r="V4" s="86"/>
      <x:c r="W4" s="86"/>
      <x:c r="X4" s="86"/>
      <x:c r="Y4" s="86"/>
      <x:c r="Z4" s="86"/>
    </x:row>
    <x:row r="5">
      <x:c r="A5" s="90" t="str">
        <x:v>FY2025 Revenue</x:v>
      </x:c>
      <x:c r="B5" s="90" t="str">
        <x:v>FY2025 Net Income</x:v>
      </x:c>
      <x:c r="C5" s="90" t="str">
        <x:v>FY2025 Net Income</x:v>
      </x:c>
      <x:c r="D5" s="90"/>
      <x:c r="E5" s="90" t="str">
        <x:v>FY2025 Free Cash Flow</x:v>
      </x:c>
      <x:c r="F5" s="90"/>
      <x:c r="G5" s="90" t="str">
        <x:v>FY2025 Gross Margin</x:v>
      </x:c>
      <x:c r="H5" s="90"/>
      <x:c r="I5" s="86"/>
      <x:c r="J5" s="88" t="n">
        <x:f>'Historical Financials'!A5</x:f>
        <x:v>2022</x:v>
      </x:c>
      <x:c r="K5" s="89" t="n">
        <x:f>'Historical Financials'!C5</x:f>
        <x:v>394328</x:v>
      </x:c>
      <x:c r="L5" s="89" t="n">
        <x:f>'Historical Financials'!F5</x:f>
        <x:v>99803</x:v>
      </x:c>
      <x:c r="M5" s="89" t="n">
        <x:f>'Historical Financials'!N5</x:f>
        <x:v>111443</x:v>
      </x:c>
      <x:c r="N5" s="88"/>
      <x:c r="O5" s="88" t="n">
        <x:f>'Forecast Output'!B6</x:f>
        <x:v>2027</x:v>
      </x:c>
      <x:c r="P5" s="89" t="n">
        <x:f>'Forecast Output'!C6</x:f>
        <x:v>456632.65725</x:v>
      </x:c>
      <x:c r="Q5" s="89" t="n">
        <x:f>'Forecast Output'!C9</x:f>
        <x:v>474236.26755</x:v>
      </x:c>
      <x:c r="R5" s="89" t="n">
        <x:f>'Forecast Output'!C12</x:f>
        <x:v>435096.3255</x:v>
      </x:c>
      <x:c r="S5" s="86"/>
      <x:c r="T5" s="86"/>
      <x:c r="U5" s="86"/>
      <x:c r="V5" s="86"/>
      <x:c r="W5" s="86"/>
      <x:c r="X5" s="86"/>
      <x:c r="Y5" s="86"/>
      <x:c r="Z5" s="86"/>
    </x:row>
    <x:row r="6">
      <x:c r="A6" s="91" t="n">
        <x:f>'Historical Financials'!C8</x:f>
        <x:v>416161</x:v>
      </x:c>
      <x:c r="B6" s="91"/>
      <x:c r="C6" s="91" t="n">
        <x:f>'Historical Financials'!F8</x:f>
        <x:v>112010</x:v>
      </x:c>
      <x:c r="D6" s="91"/>
      <x:c r="E6" s="91" t="n">
        <x:f>'Historical Financials'!N8</x:f>
        <x:v>98767</x:v>
      </x:c>
      <x:c r="F6" s="91"/>
      <x:c r="G6" s="92" t="n">
        <x:f>'Ratio Analysis'!C8</x:f>
        <x:v>0.4690516410716045</x:v>
      </x:c>
      <x:c r="H6" s="92"/>
      <x:c r="I6" s="86"/>
      <x:c r="J6" s="88" t="n">
        <x:f>'Historical Financials'!A6</x:f>
        <x:v>2023</x:v>
      </x:c>
      <x:c r="K6" s="89" t="n">
        <x:f>'Historical Financials'!C6</x:f>
        <x:v>383285</x:v>
      </x:c>
      <x:c r="L6" s="89" t="n">
        <x:f>'Historical Financials'!F6</x:f>
        <x:v>96995</x:v>
      </x:c>
      <x:c r="M6" s="89" t="n">
        <x:f>'Historical Financials'!N6</x:f>
        <x:v>99584</x:v>
      </x:c>
      <x:c r="N6" s="88"/>
      <x:c r="O6" s="88" t="n">
        <x:f>'Forecast Output'!B7</x:f>
        <x:v>2028</x:v>
      </x:c>
      <x:c r="P6" s="89" t="n">
        <x:f>'Forecast Output'!C7</x:f>
        <x:v>474897.96354</x:v>
      </x:c>
      <x:c r="Q6" s="89" t="n">
        <x:f>'Forecast Output'!C10</x:f>
        <x:v>502690.443603</x:v>
      </x:c>
      <x:c r="R6" s="89" t="n">
        <x:f>'Forecast Output'!C13</x:f>
        <x:v>448149.215265</x:v>
      </x:c>
      <x:c r="S6" s="86"/>
      <x:c r="T6" s="86"/>
      <x:c r="U6" s="86"/>
      <x:c r="V6" s="86"/>
      <x:c r="W6" s="86"/>
      <x:c r="X6" s="86"/>
      <x:c r="Y6" s="86"/>
      <x:c r="Z6" s="86"/>
    </x:row>
    <x:row r="7">
      <x:c r="A7" s="86"/>
      <x:c r="B7" s="86"/>
      <x:c r="C7" s="86"/>
      <x:c r="D7" s="86"/>
      <x:c r="E7" s="86"/>
      <x:c r="F7" s="86"/>
      <x:c r="G7" s="86"/>
      <x:c r="H7" s="86"/>
      <x:c r="I7" s="86"/>
      <x:c r="J7" s="88" t="n">
        <x:f>'Historical Financials'!A7</x:f>
        <x:v>2024</x:v>
      </x:c>
      <x:c r="K7" s="89" t="n">
        <x:f>'Historical Financials'!C7</x:f>
        <x:v>391035</x:v>
      </x:c>
      <x:c r="L7" s="89" t="n">
        <x:f>'Historical Financials'!F7</x:f>
        <x:v>93736</x:v>
      </x:c>
      <x:c r="M7" s="89" t="n">
        <x:f>'Historical Financials'!N7</x:f>
        <x:v>108807</x:v>
      </x:c>
      <x:c r="N7" s="88"/>
      <x:c r="O7" s="88"/>
      <x:c r="P7" s="88"/>
      <x:c r="Q7" s="88"/>
      <x:c r="R7" s="88"/>
      <x:c r="S7" s="86"/>
      <x:c r="T7" s="86"/>
      <x:c r="U7" s="86"/>
      <x:c r="V7" s="86"/>
      <x:c r="W7" s="86"/>
      <x:c r="X7" s="86"/>
      <x:c r="Y7" s="86"/>
      <x:c r="Z7" s="86"/>
    </x:row>
    <x:row r="8">
      <x:c r="A8" s="90" t="str">
        <x:v>Base Case FY2028 Revenue</x:v>
      </x:c>
      <x:c r="B8" s="90"/>
      <x:c r="C8" s="90" t="str">
        <x:v>Base Case FY2028 Net Income</x:v>
      </x:c>
      <x:c r="D8" s="90"/>
      <x:c r="E8" s="90" t="str">
        <x:v>Base Case FY2028 FCF</x:v>
      </x:c>
      <x:c r="F8" s="90"/>
      <x:c r="G8" s="90" t="str">
        <x:v>Base Case FY2028 FCF Margin</x:v>
      </x:c>
      <x:c r="H8" s="90"/>
      <x:c r="I8" s="86"/>
      <x:c r="J8" s="88" t="n">
        <x:f>'Historical Financials'!A8</x:f>
        <x:v>2025</x:v>
      </x:c>
      <x:c r="K8" s="89" t="n">
        <x:f>'Historical Financials'!C8</x:f>
        <x:v>416161</x:v>
      </x:c>
      <x:c r="L8" s="89" t="n">
        <x:f>'Historical Financials'!F8</x:f>
        <x:v>112010</x:v>
      </x:c>
      <x:c r="M8" s="89" t="n">
        <x:f>'Historical Financials'!N8</x:f>
        <x:v>98767</x:v>
      </x:c>
      <x:c r="N8" s="88"/>
      <x:c r="O8" s="88"/>
      <x:c r="P8" s="88"/>
      <x:c r="Q8" s="88"/>
      <x:c r="R8" s="88"/>
      <x:c r="S8" s="86"/>
      <x:c r="T8" s="86"/>
      <x:c r="U8" s="86"/>
      <x:c r="V8" s="86"/>
      <x:c r="W8" s="86"/>
      <x:c r="X8" s="86"/>
      <x:c r="Y8" s="86"/>
      <x:c r="Z8" s="86"/>
    </x:row>
    <x:row r="9">
      <x:c r="A9" s="91" t="n">
        <x:f>'Forecast Output'!C7</x:f>
        <x:v>474897.96354</x:v>
      </x:c>
      <x:c r="B9" s="91"/>
      <x:c r="C9" s="91" t="n">
        <x:f>'Forecast Output'!F7</x:f>
        <x:v>128222.45015580002</x:v>
      </x:c>
      <x:c r="D9" s="91"/>
      <x:c r="E9" s="91" t="n">
        <x:f>'Forecast Output'!H7</x:f>
        <x:v>116350.0010673</x:v>
      </x:c>
      <x:c r="F9" s="91"/>
      <x:c r="G9" s="92" t="n">
        <x:f>'Forecast Assumptions'!H7</x:f>
        <x:v>0.245</x:v>
      </x:c>
      <x:c r="H9" s="92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54" t="str">
        <x:v>Key Takeaways</x:v>
      </x:c>
      <x:c r="B11" s="54"/>
      <x:c r="C11" s="54"/>
      <x:c r="D11" s="54"/>
      <x:c r="E11" s="54"/>
      <x:c r="F11" s="54"/>
      <x:c r="G11" s="54"/>
      <x:c r="H11" s="54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 ht="105.5999984741211" hidden="0" customHeight="1">
      <x:c r="A12" s="93" t="str">
        <x:v>1</x:v>
      </x:c>
      <x:c r="B12" s="94" t="str">
        <x:v>Revenue recovered after FY2023 and reached a new high in FY2025.</x:v>
      </x:c>
      <x:c r="C12" s="86"/>
      <x:c r="D12" s="86"/>
      <x:c r="E12" s="86"/>
      <x:c r="F12" s="86"/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 ht="158.39999389648438" hidden="0" customHeight="1">
      <x:c r="A13" s="93" t="str">
        <x:v>2</x:v>
      </x:c>
      <x:c r="B13" s="94" t="str">
        <x:v>Gross margin expanded from FY2021 to FY2025, indicating stronger profitability and business mix.</x:v>
      </x:c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 ht="158.39999389648438" hidden="0" customHeight="1">
      <x:c r="A14" s="93" t="str">
        <x:v>3</x:v>
      </x:c>
      <x:c r="B14" s="94" t="str">
        <x:v>Free cash flow remained consistently strong, supporting investment capacity and shareholder returns.</x:v>
      </x:c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 ht="211.1999969482422" hidden="0" customHeight="1">
      <x:c r="A15" s="93" t="str">
        <x:v>4</x:v>
      </x:c>
      <x:c r="B15" s="94" t="str">
        <x:v>Scenario analysis shows FY2028 revenue ranging from downside to upside outcomes based on growth and margin assumptions.</x:v>
      </x:c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</x:sheetData>
  <x:mergeCells>
    <x:mergeCell ref="A1:H1"/>
    <x:mergeCell ref="A4:H4"/>
    <x:mergeCell ref="A5:B5"/>
    <x:mergeCell ref="C5:D5"/>
    <x:mergeCell ref="E5:F5"/>
    <x:mergeCell ref="G5:H5"/>
    <x:mergeCell ref="A6:B6"/>
    <x:mergeCell ref="C6:D6"/>
    <x:mergeCell ref="E6:F6"/>
    <x:mergeCell ref="G6:H6"/>
    <x:mergeCell ref="A8:B8"/>
    <x:mergeCell ref="C8:D8"/>
    <x:mergeCell ref="E8:F8"/>
    <x:mergeCell ref="G8:H8"/>
    <x:mergeCell ref="A9:B9"/>
    <x:mergeCell ref="C9:D9"/>
    <x:mergeCell ref="E9:F9"/>
    <x:mergeCell ref="G9:H9"/>
    <x:mergeCell ref="A11:H11"/>
  </x:mergeCells>
  <x:pageMargins left="0.7" right="0.7" top="0.75" bottom="0.75" header="0.3" footer="0.3"/>
  <x:drawing xmlns:r="http://schemas.openxmlformats.org/officeDocument/2006/relationships" r:id="Read858cf2b7642cd"/>
</x:worksheet>
</file>

<file path=xl/worksheets/sheet2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9.130000114440918" hidden="0" customWidth="1"/>
    <x:col min="3" max="3" width="12.630000114440918" hidden="0" customWidth="1"/>
    <x:col min="4" max="4" width="14.880000114440918" hidden="0" customWidth="1"/>
    <x:col min="5" max="5" width="19.6299991607666" hidden="0" customWidth="1"/>
    <x:col min="6" max="6" width="14.880000114440918" hidden="0" customWidth="1"/>
    <x:col min="7" max="7" width="15" hidden="0" customWidth="1"/>
    <x:col min="8" max="8" width="17.3799991607666" hidden="0" customWidth="1"/>
    <x:col min="9" max="9" width="21.6299991607666" hidden="0" customWidth="1"/>
    <x:col min="10" max="10" width="17" hidden="0" customWidth="1"/>
    <x:col min="11" max="11" width="19.3799991607666" hidden="0" customWidth="1"/>
    <x:col min="12" max="12" width="21.6299991607666" hidden="0" customWidth="1"/>
    <x:col min="13" max="13" width="21.6299991607666" hidden="0" customWidth="1"/>
    <x:col min="14" max="14" width="17.3799991607666" hidden="0" customWidth="1"/>
    <x:col min="15" max="15" width="9.25" hidden="0" customWidth="1"/>
  </x:cols>
  <x:sheetData>
    <x:row r="1" ht="26" customHeight="1">
      <x:c r="A1" s="5" t="str">
        <x:v>Apple Inc. Historical Financials ($mm except EPS)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>
      <x:c r="A2" s="86"/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14" t="str">
        <x:v>Fiscal Year</x:v>
      </x:c>
      <x:c r="B3" s="14" t="str">
        <x:v>Period End</x:v>
      </x:c>
      <x:c r="C3" s="14" t="str">
        <x:v>Revenue ($mm)</x:v>
      </x:c>
      <x:c r="D3" s="14" t="str">
        <x:v>Gross Profit ($mm)</x:v>
      </x:c>
      <x:c r="E3" s="14" t="str">
        <x:v>Operating Income ($mm)</x:v>
      </x:c>
      <x:c r="F3" s="14" t="str">
        <x:v>Net Income ($mm)</x:v>
      </x:c>
      <x:c r="G3" s="14" t="str">
        <x:v>Total Assets ($mm)</x:v>
      </x:c>
      <x:c r="H3" s="14" t="str">
        <x:v>Total Liabilities ($mm)</x:v>
      </x:c>
      <x:c r="I3" s="14" t="str">
        <x:v>Shareholders' Equity ($mm)</x:v>
      </x:c>
      <x:c r="J3" s="14" t="str">
        <x:v>Current Assets ($mm)</x:v>
      </x:c>
      <x:c r="K3" s="14" t="str">
        <x:v>Current Liabilities ($mm)</x:v>
      </x:c>
      <x:c r="L3" s="14" t="str">
        <x:v>Operating Cash Flow ($mm)</x:v>
      </x:c>
      <x:c r="M3" s="14" t="str">
        <x:v>Capital Expenditures ($mm)</x:v>
      </x:c>
      <x:c r="N3" s="14" t="str">
        <x:v>Free Cash Flow ($mm)</x:v>
      </x:c>
      <x:c r="O3" s="14" t="str">
        <x:v>Diluted EPS</x:v>
      </x:c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>
      <x:c r="A4" s="104" t="n">
        <x:v>2021</x:v>
      </x:c>
      <x:c r="B4" s="105" t="str">
        <x:v>2021-09-25</x:v>
      </x:c>
      <x:c r="C4" s="106" t="n">
        <x:v>365817</x:v>
      </x:c>
      <x:c r="D4" s="106" t="n">
        <x:v>152836</x:v>
      </x:c>
      <x:c r="E4" s="106" t="n">
        <x:v>108949</x:v>
      </x:c>
      <x:c r="F4" s="106" t="n">
        <x:v>94680</x:v>
      </x:c>
      <x:c r="G4" s="106" t="n">
        <x:v>351002</x:v>
      </x:c>
      <x:c r="H4" s="106" t="n">
        <x:v>287912</x:v>
      </x:c>
      <x:c r="I4" s="106" t="n">
        <x:v>63090</x:v>
      </x:c>
      <x:c r="J4" s="106" t="n">
        <x:v>134836</x:v>
      </x:c>
      <x:c r="K4" s="106" t="n">
        <x:v>125481</x:v>
      </x:c>
      <x:c r="L4" s="106" t="n">
        <x:v>104038</x:v>
      </x:c>
      <x:c r="M4" s="106" t="n">
        <x:v>11085</x:v>
      </x:c>
      <x:c r="N4" s="106" t="n">
        <x:v>92953</x:v>
      </x:c>
      <x:c r="O4" s="107" t="n">
        <x:v>5.61</x:v>
      </x:c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104" t="n">
        <x:v>2022</x:v>
      </x:c>
      <x:c r="B5" s="105" t="str">
        <x:v>2022-09-24</x:v>
      </x:c>
      <x:c r="C5" s="106" t="n">
        <x:v>394328</x:v>
      </x:c>
      <x:c r="D5" s="106" t="n">
        <x:v>170782</x:v>
      </x:c>
      <x:c r="E5" s="106" t="n">
        <x:v>119437</x:v>
      </x:c>
      <x:c r="F5" s="106" t="n">
        <x:v>99803</x:v>
      </x:c>
      <x:c r="G5" s="106" t="n">
        <x:v>352755</x:v>
      </x:c>
      <x:c r="H5" s="106" t="n">
        <x:v>302083</x:v>
      </x:c>
      <x:c r="I5" s="106" t="n">
        <x:v>50672</x:v>
      </x:c>
      <x:c r="J5" s="106" t="n">
        <x:v>135405</x:v>
      </x:c>
      <x:c r="K5" s="106" t="n">
        <x:v>153982</x:v>
      </x:c>
      <x:c r="L5" s="106" t="n">
        <x:v>122151</x:v>
      </x:c>
      <x:c r="M5" s="106" t="n">
        <x:v>10708</x:v>
      </x:c>
      <x:c r="N5" s="106" t="n">
        <x:v>111443</x:v>
      </x:c>
      <x:c r="O5" s="107" t="n">
        <x:v>6.11</x:v>
      </x:c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104" t="n">
        <x:v>2023</x:v>
      </x:c>
      <x:c r="B6" s="105" t="str">
        <x:v>2023-09-30</x:v>
      </x:c>
      <x:c r="C6" s="106" t="n">
        <x:v>383285</x:v>
      </x:c>
      <x:c r="D6" s="106" t="n">
        <x:v>169148</x:v>
      </x:c>
      <x:c r="E6" s="106" t="n">
        <x:v>114301</x:v>
      </x:c>
      <x:c r="F6" s="106" t="n">
        <x:v>96995</x:v>
      </x:c>
      <x:c r="G6" s="106" t="n">
        <x:v>352583</x:v>
      </x:c>
      <x:c r="H6" s="106" t="n">
        <x:v>290437</x:v>
      </x:c>
      <x:c r="I6" s="106" t="n">
        <x:v>62146</x:v>
      </x:c>
      <x:c r="J6" s="106" t="n">
        <x:v>143566</x:v>
      </x:c>
      <x:c r="K6" s="106" t="n">
        <x:v>145308</x:v>
      </x:c>
      <x:c r="L6" s="106" t="n">
        <x:v>110543</x:v>
      </x:c>
      <x:c r="M6" s="106" t="n">
        <x:v>10959</x:v>
      </x:c>
      <x:c r="N6" s="106" t="n">
        <x:v>99584</x:v>
      </x:c>
      <x:c r="O6" s="107" t="n">
        <x:v>6.13</x:v>
      </x:c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104" t="n">
        <x:v>2024</x:v>
      </x:c>
      <x:c r="B7" s="105" t="str">
        <x:v>2024-09-28</x:v>
      </x:c>
      <x:c r="C7" s="106" t="n">
        <x:v>391035</x:v>
      </x:c>
      <x:c r="D7" s="106" t="n">
        <x:v>180683</x:v>
      </x:c>
      <x:c r="E7" s="106" t="n">
        <x:v>123216</x:v>
      </x:c>
      <x:c r="F7" s="106" t="n">
        <x:v>93736</x:v>
      </x:c>
      <x:c r="G7" s="106" t="n">
        <x:v>364980</x:v>
      </x:c>
      <x:c r="H7" s="106" t="n">
        <x:v>308030</x:v>
      </x:c>
      <x:c r="I7" s="106" t="n">
        <x:v>56950</x:v>
      </x:c>
      <x:c r="J7" s="106" t="n">
        <x:v>152987</x:v>
      </x:c>
      <x:c r="K7" s="106" t="n">
        <x:v>176392</x:v>
      </x:c>
      <x:c r="L7" s="106" t="n">
        <x:v>118254</x:v>
      </x:c>
      <x:c r="M7" s="106" t="n">
        <x:v>9447</x:v>
      </x:c>
      <x:c r="N7" s="106" t="n">
        <x:v>108807</x:v>
      </x:c>
      <x:c r="O7" s="107" t="n">
        <x:v>6.08</x:v>
      </x:c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104" t="n">
        <x:v>2025</x:v>
      </x:c>
      <x:c r="B8" s="105" t="str">
        <x:v>2025-09-27</x:v>
      </x:c>
      <x:c r="C8" s="106" t="n">
        <x:v>416161</x:v>
      </x:c>
      <x:c r="D8" s="106" t="n">
        <x:v>195201</x:v>
      </x:c>
      <x:c r="E8" s="106" t="n">
        <x:v>133050</x:v>
      </x:c>
      <x:c r="F8" s="106" t="n">
        <x:v>112010</x:v>
      </x:c>
      <x:c r="G8" s="106" t="n">
        <x:v>359241</x:v>
      </x:c>
      <x:c r="H8" s="106" t="n">
        <x:v>285508</x:v>
      </x:c>
      <x:c r="I8" s="106" t="n">
        <x:v>73733</x:v>
      </x:c>
      <x:c r="J8" s="106" t="n">
        <x:v>147957</x:v>
      </x:c>
      <x:c r="K8" s="106" t="n">
        <x:v>165631</x:v>
      </x:c>
      <x:c r="L8" s="106" t="n">
        <x:v>111482</x:v>
      </x:c>
      <x:c r="M8" s="106" t="n">
        <x:v>12715</x:v>
      </x:c>
      <x:c r="N8" s="106" t="n">
        <x:v>98767</x:v>
      </x:c>
      <x:c r="O8" s="107" t="n">
        <x:v>7.46</x:v>
      </x:c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86"/>
      <x:c r="B9" s="86"/>
      <x:c r="C9" s="86"/>
      <x:c r="D9" s="86"/>
      <x:c r="E9" s="86"/>
      <x:c r="F9" s="86"/>
      <x:c r="G9" s="86"/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86"/>
      <x:c r="B12" s="86"/>
      <x:c r="C12" s="86"/>
      <x:c r="D12" s="86"/>
      <x:c r="E12" s="86"/>
      <x:c r="F12" s="86"/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86"/>
      <x:c r="B13" s="86"/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78ba4a8f01614ce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15.130000114440918" hidden="0" customWidth="1"/>
    <x:col min="3" max="3" width="12.380000114440918" hidden="0" customWidth="1"/>
    <x:col min="4" max="4" width="15.75" hidden="0" customWidth="1"/>
    <x:col min="5" max="5" width="10.880000114440918" hidden="0" customWidth="1"/>
    <x:col min="6" max="6" width="10.75" hidden="0" customWidth="1"/>
    <x:col min="7" max="7" width="11.75" hidden="0" customWidth="1"/>
    <x:col min="8" max="8" width="10.75" hidden="0" customWidth="1"/>
    <x:col min="9" max="9" width="13.880000114440918" hidden="0" customWidth="1"/>
    <x:col min="10" max="10" width="5.630000114440918" hidden="0" customWidth="1"/>
    <x:col min="11" max="11" width="6" hidden="0" customWidth="1"/>
  </x:cols>
  <x:sheetData>
    <x:row r="1">
      <x:c r="A1" s="5" t="str">
        <x:v>Apple Inc. Ratio Analysis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>
      <x:c r="A2" s="86"/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14" t="str">
        <x:v>Fiscal Year</x:v>
      </x:c>
      <x:c r="B3" s="14" t="str">
        <x:v>Revenue Growth %</x:v>
      </x:c>
      <x:c r="C3" s="14" t="str">
        <x:v>Gross Margin %</x:v>
      </x:c>
      <x:c r="D3" s="14" t="str">
        <x:v>Operating Margin %</x:v>
      </x:c>
      <x:c r="E3" s="14" t="str">
        <x:v>Net Margin %</x:v>
      </x:c>
      <x:c r="F3" s="14" t="str">
        <x:v>Current Ratio</x:v>
      </x:c>
      <x:c r="G3" s="14" t="str">
        <x:v>Debt-to-Equity</x:v>
      </x:c>
      <x:c r="H3" s="14" t="str">
        <x:v>FCF Margin %</x:v>
      </x:c>
      <x:c r="I3" s="14" t="str">
        <x:v>CapEx % Revenue</x:v>
      </x:c>
      <x:c r="J3" s="14" t="str">
        <x:v>ROA %</x:v>
      </x:c>
      <x:c r="K3" s="14" t="str">
        <x:v>ROE %</x:v>
      </x:c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>
      <x:c r="A4" s="112" t="n">
        <x:f>'Historical Financials'!A4</x:f>
        <x:v>2021</x:v>
      </x:c>
      <x:c r="B4" s="113" t="str">
        <x:f>""</x:f>
      </x:c>
      <x:c r="C4" s="113" t="n">
        <x:f>'Historical Financials'!D4/'Historical Financials'!C4</x:f>
        <x:v>0.4177935962516778</x:v>
      </x:c>
      <x:c r="D4" s="113" t="n">
        <x:f>'Historical Financials'!E4/'Historical Financials'!C4</x:f>
        <x:v>0.29782377527561593</x:v>
      </x:c>
      <x:c r="E4" s="113" t="n">
        <x:f>'Historical Financials'!F4/'Historical Financials'!C4</x:f>
        <x:v>0.2588179335569424</x:v>
      </x:c>
      <x:c r="F4" s="114" t="n">
        <x:f>'Historical Financials'!J4/'Historical Financials'!K4</x:f>
        <x:v>1.0745531195957954</x:v>
      </x:c>
      <x:c r="G4" s="114" t="n">
        <x:f>'Historical Financials'!H4/'Historical Financials'!I4</x:f>
        <x:v>4.563512442542399</x:v>
      </x:c>
      <x:c r="H4" s="113" t="n">
        <x:f>'Historical Financials'!N4/'Historical Financials'!C4</x:f>
        <x:v>0.2540969938521173</x:v>
      </x:c>
      <x:c r="I4" s="113" t="n">
        <x:f>'Historical Financials'!M4/'Historical Financials'!C4</x:f>
        <x:v>0.030302036264033657</x:v>
      </x:c>
      <x:c r="J4" s="113" t="n">
        <x:f>'Historical Financials'!F4/'Historical Financials'!G4</x:f>
        <x:v>0.26974205275183616</x:v>
      </x:c>
      <x:c r="K4" s="113" t="n">
        <x:f>'Historical Financials'!F4/'Historical Financials'!I4</x:f>
        <x:v>1.5007132667617689</x:v>
      </x:c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112" t="n">
        <x:f>'Historical Financials'!A5</x:f>
        <x:v>2022</x:v>
      </x:c>
      <x:c r="B5" s="113" t="n">
        <x:f>'Historical Financials'!C5/'Historical Financials'!C4-1</x:f>
        <x:v>0.0779378760418461</x:v>
      </x:c>
      <x:c r="C5" s="113" t="n">
        <x:f>'Historical Financials'!D5/'Historical Financials'!C5</x:f>
        <x:v>0.43309630561360085</x:v>
      </x:c>
      <x:c r="D5" s="113" t="n">
        <x:f>'Historical Financials'!E5/'Historical Financials'!C5</x:f>
        <x:v>0.30288744395528594</x:v>
      </x:c>
      <x:c r="E5" s="113" t="n">
        <x:f>'Historical Financials'!F5/'Historical Financials'!C5</x:f>
        <x:v>0.2530964070519973</x:v>
      </x:c>
      <x:c r="F5" s="114" t="n">
        <x:f>'Historical Financials'!J5/'Historical Financials'!K5</x:f>
        <x:v>0.8793560286267226</x:v>
      </x:c>
      <x:c r="G5" s="114" t="n">
        <x:f>'Historical Financials'!H5/'Historical Financials'!I5</x:f>
        <x:v>5.961536943479634</x:v>
      </x:c>
      <x:c r="H5" s="113" t="n">
        <x:f>'Historical Financials'!N5/'Historical Financials'!C5</x:f>
        <x:v>0.2826149804223895</x:v>
      </x:c>
      <x:c r="I5" s="113" t="n">
        <x:f>'Historical Financials'!M5/'Historical Financials'!C5</x:f>
        <x:v>0.02715505873283155</x:v>
      </x:c>
      <x:c r="J5" s="113" t="n">
        <x:f>'Historical Financials'!F5/'Historical Financials'!G5</x:f>
        <x:v>0.2829244092925685</x:v>
      </x:c>
      <x:c r="K5" s="113" t="n">
        <x:f>'Historical Financials'!F5/'Historical Financials'!I5</x:f>
        <x:v>1.9695887275023682</x:v>
      </x:c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112" t="n">
        <x:f>'Historical Financials'!A6</x:f>
        <x:v>2023</x:v>
      </x:c>
      <x:c r="B6" s="113" t="n">
        <x:f>'Historical Financials'!C6/'Historical Financials'!C5-1</x:f>
        <x:v>-0.02800460530319937</x:v>
      </x:c>
      <x:c r="C6" s="113" t="n">
        <x:f>'Historical Financials'!D6/'Historical Financials'!C6</x:f>
        <x:v>0.4413112957720756</x:v>
      </x:c>
      <x:c r="D6" s="113" t="n">
        <x:f>'Historical Financials'!E6/'Historical Financials'!C6</x:f>
        <x:v>0.2982141226502472</x:v>
      </x:c>
      <x:c r="E6" s="113" t="n">
        <x:f>'Historical Financials'!F6/'Historical Financials'!C6</x:f>
        <x:v>0.2530623426432028</x:v>
      </x:c>
      <x:c r="F6" s="114" t="n">
        <x:f>'Historical Financials'!J6/'Historical Financials'!K6</x:f>
        <x:v>0.9880116717592975</x:v>
      </x:c>
      <x:c r="G6" s="114" t="n">
        <x:f>'Historical Financials'!H6/'Historical Financials'!I6</x:f>
        <x:v>4.673462491552152</x:v>
      </x:c>
      <x:c r="H6" s="113" t="n">
        <x:f>'Historical Financials'!N6/'Historical Financials'!C6</x:f>
        <x:v>0.25981710737440805</x:v>
      </x:c>
      <x:c r="I6" s="113" t="n">
        <x:f>'Historical Financials'!M6/'Historical Financials'!C6</x:f>
        <x:v>0.02859230076835775</x:v>
      </x:c>
      <x:c r="J6" s="113" t="n">
        <x:f>'Historical Financials'!F6/'Historical Financials'!G6</x:f>
        <x:v>0.27509834563776475</x:v>
      </x:c>
      <x:c r="K6" s="113" t="n">
        <x:f>'Historical Financials'!F6/'Historical Financials'!I6</x:f>
        <x:v>1.5607601454639075</x:v>
      </x:c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112" t="n">
        <x:f>'Historical Financials'!A7</x:f>
        <x:v>2024</x:v>
      </x:c>
      <x:c r="B7" s="113" t="n">
        <x:f>'Historical Financials'!C7/'Historical Financials'!C6-1</x:f>
        <x:v>0.02021994077514111</x:v>
      </x:c>
      <x:c r="C7" s="113" t="n">
        <x:f>'Historical Financials'!D7/'Historical Financials'!C7</x:f>
        <x:v>0.4620634981523393</x:v>
      </x:c>
      <x:c r="D7" s="113" t="n">
        <x:f>'Historical Financials'!E7/'Historical Financials'!C7</x:f>
        <x:v>0.31510222870075566</x:v>
      </x:c>
      <x:c r="E7" s="113" t="n">
        <x:f>'Historical Financials'!F7/'Historical Financials'!C7</x:f>
        <x:v>0.23971255769943867</x:v>
      </x:c>
      <x:c r="F7" s="114" t="n">
        <x:f>'Historical Financials'!J7/'Historical Financials'!K7</x:f>
        <x:v>0.8673125765340832</x:v>
      </x:c>
      <x:c r="G7" s="114" t="n">
        <x:f>'Historical Financials'!H7/'Historical Financials'!I7</x:f>
        <x:v>5.408779631255487</x:v>
      </x:c>
      <x:c r="H7" s="113" t="n">
        <x:f>'Historical Financials'!N7/'Historical Financials'!C7</x:f>
        <x:v>0.27825386474356517</x:v>
      </x:c>
      <x:c r="I7" s="113" t="n">
        <x:f>'Historical Financials'!M7/'Historical Financials'!C7</x:f>
        <x:v>0.02415896275269477</x:v>
      </x:c>
      <x:c r="J7" s="113" t="n">
        <x:f>'Historical Financials'!F7/'Historical Financials'!G7</x:f>
        <x:v>0.25682503150857583</x:v>
      </x:c>
      <x:c r="K7" s="113" t="n">
        <x:f>'Historical Financials'!F7/'Historical Financials'!I7</x:f>
        <x:v>1.6459350307287095</x:v>
      </x:c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112" t="n">
        <x:f>'Historical Financials'!A8</x:f>
        <x:v>2025</x:v>
      </x:c>
      <x:c r="B8" s="113" t="n">
        <x:f>'Historical Financials'!C8/'Historical Financials'!C7-1</x:f>
        <x:v>0.06425511782832749</x:v>
      </x:c>
      <x:c r="C8" s="113" t="n">
        <x:f>'Historical Financials'!D8/'Historical Financials'!C8</x:f>
        <x:v>0.4690516410716045</x:v>
      </x:c>
      <x:c r="D8" s="113" t="n">
        <x:f>'Historical Financials'!E8/'Historical Financials'!C8</x:f>
        <x:v>0.31970799762591884</x:v>
      </x:c>
      <x:c r="E8" s="113" t="n">
        <x:f>'Historical Financials'!F8/'Historical Financials'!C8</x:f>
        <x:v>0.2691506412181824</x:v>
      </x:c>
      <x:c r="F8" s="114" t="n">
        <x:f>'Historical Financials'!J8/'Historical Financials'!K8</x:f>
        <x:v>0.8932929222186667</x:v>
      </x:c>
      <x:c r="G8" s="114" t="n">
        <x:f>'Historical Financials'!H8/'Historical Financials'!I8</x:f>
        <x:v>3.872187487285205</x:v>
      </x:c>
      <x:c r="H8" s="113" t="n">
        <x:f>'Historical Financials'!N8/'Historical Financials'!C8</x:f>
        <x:v>0.23732882225869315</x:v>
      </x:c>
      <x:c r="I8" s="113" t="n">
        <x:f>'Historical Financials'!M8/'Historical Financials'!C8</x:f>
        <x:v>0.030553079216937677</x:v>
      </x:c>
      <x:c r="J8" s="113" t="n">
        <x:f>'Historical Financials'!F8/'Historical Financials'!G8</x:f>
        <x:v>0.3117962593356549</x:v>
      </x:c>
      <x:c r="K8" s="113" t="n">
        <x:f>'Historical Financials'!F8/'Historical Financials'!I8</x:f>
        <x:v>1.5191298333175105</x:v>
      </x:c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86"/>
      <x:c r="B9" s="86"/>
      <x:c r="C9" s="86"/>
      <x:c r="D9" s="86"/>
      <x:c r="E9" s="86"/>
      <x:c r="F9" s="86"/>
      <x:c r="G9" s="86"/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86"/>
      <x:c r="B12" s="86"/>
      <x:c r="C12" s="86"/>
      <x:c r="D12" s="86"/>
      <x:c r="E12" s="86"/>
      <x:c r="F12" s="86"/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86"/>
      <x:c r="B13" s="86"/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65648698ee84d5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10.630000114440918" hidden="0" customWidth="1"/>
    <x:col min="3" max="3" width="15.130000114440918" hidden="0" customWidth="1"/>
    <x:col min="4" max="4" width="12.380000114440918" hidden="0" customWidth="1"/>
    <x:col min="5" max="5" width="15.75" hidden="0" customWidth="1"/>
    <x:col min="6" max="6" width="10.880000114440918" hidden="0" customWidth="1"/>
    <x:col min="7" max="7" width="13.880000114440918" hidden="0" customWidth="1"/>
    <x:col min="8" max="8" width="10.75" hidden="0" customWidth="1"/>
  </x:cols>
  <x:sheetData>
    <x:row r="1">
      <x:c r="A1" s="5" t="str">
        <x:v>Forecast Assumptions: FY2026-FY2028</x:v>
      </x:c>
      <x:c r="B1" s="5"/>
      <x:c r="C1" s="5"/>
      <x:c r="D1" s="5"/>
      <x:c r="E1" s="5"/>
      <x:c r="F1" s="5"/>
      <x:c r="G1" s="5"/>
      <x:c r="H1" s="5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>
      <x:c r="A2" s="118" t="str">
        <x:v>Editable assumptions are shown in blue text and yellow fill.</x:v>
      </x:c>
      <x:c r="B2" s="118" t="str">
        <x:v>Editable assumptions are shown in blue text and yellow fill.</x:v>
      </x:c>
      <x:c r="C2" s="118" t="str">
        <x:v>Editable assumptions are shown in blue text and yellow fill.</x:v>
      </x:c>
      <x:c r="D2" s="118" t="str">
        <x:v>Editable assumptions are shown in blue text and yellow fill.</x:v>
      </x:c>
      <x:c r="E2" s="118" t="str">
        <x:v>Editable assumptions are shown in blue text and yellow fill.</x:v>
      </x:c>
      <x:c r="F2" s="118" t="str">
        <x:v>Editable assumptions are shown in blue text and yellow fill.</x:v>
      </x:c>
      <x:c r="G2" s="118" t="str">
        <x:v>Editable assumptions are shown in blue text and yellow fill.</x:v>
      </x:c>
      <x:c r="H2" s="118" t="str">
        <x:v>Editable assumptions are shown in blue text and yellow fill.</x:v>
      </x:c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>
      <x:c r="A4" s="14" t="str">
        <x:v>Scenario</x:v>
      </x:c>
      <x:c r="B4" s="14" t="str">
        <x:v>Forecast Year</x:v>
      </x:c>
      <x:c r="C4" s="14" t="str">
        <x:v>Revenue Growth %</x:v>
      </x:c>
      <x:c r="D4" s="14" t="str">
        <x:v>Gross Margin %</x:v>
      </x:c>
      <x:c r="E4" s="14" t="str">
        <x:v>Operating Margin %</x:v>
      </x:c>
      <x:c r="F4" s="14" t="str">
        <x:v>Net Margin %</x:v>
      </x:c>
      <x:c r="G4" s="14" t="str">
        <x:v>CapEx % Revenue</x:v>
      </x:c>
      <x:c r="H4" s="14" t="str">
        <x:v>FCF Margin %</x:v>
      </x:c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119" t="str">
        <x:v>Base Case</x:v>
      </x:c>
      <x:c r="B5" s="104" t="n">
        <x:v>2026</x:v>
      </x:c>
      <x:c r="C5" s="120" t="n">
        <x:v>0.05</x:v>
      </x:c>
      <x:c r="D5" s="120" t="n">
        <x:v>0.47</x:v>
      </x:c>
      <x:c r="E5" s="120" t="n">
        <x:v>0.32</x:v>
      </x:c>
      <x:c r="F5" s="120" t="n">
        <x:v>0.265</x:v>
      </x:c>
      <x:c r="G5" s="120" t="n">
        <x:v>0.03</x:v>
      </x:c>
      <x:c r="H5" s="120" t="n">
        <x:v>0.24</x:v>
      </x:c>
      <x:c r="I5" s="86"/>
      <x:c r="J5" s="86"/>
      <x:c r="K5" s="86"/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119" t="str">
        <x:v>Base Case</x:v>
      </x:c>
      <x:c r="B6" s="104" t="n">
        <x:v>2027</x:v>
      </x:c>
      <x:c r="C6" s="120" t="n">
        <x:v>0.045</x:v>
      </x:c>
      <x:c r="D6" s="120" t="n">
        <x:v>0.472</x:v>
      </x:c>
      <x:c r="E6" s="120" t="n">
        <x:v>0.322</x:v>
      </x:c>
      <x:c r="F6" s="120" t="n">
        <x:v>0.267</x:v>
      </x:c>
      <x:c r="G6" s="120" t="n">
        <x:v>0.03</x:v>
      </x:c>
      <x:c r="H6" s="120" t="n">
        <x:v>0.242</x:v>
      </x:c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119" t="str">
        <x:v>Base Case</x:v>
      </x:c>
      <x:c r="B7" s="104" t="n">
        <x:v>2028</x:v>
      </x:c>
      <x:c r="C7" s="120" t="n">
        <x:v>0.04</x:v>
      </x:c>
      <x:c r="D7" s="120" t="n">
        <x:v>0.475</x:v>
      </x:c>
      <x:c r="E7" s="120" t="n">
        <x:v>0.325</x:v>
      </x:c>
      <x:c r="F7" s="120" t="n">
        <x:v>0.27</x:v>
      </x:c>
      <x:c r="G7" s="120" t="n">
        <x:v>0.03</x:v>
      </x:c>
      <x:c r="H7" s="120" t="n">
        <x:v>0.245</x:v>
      </x:c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119" t="str">
        <x:v>Upside Case</x:v>
      </x:c>
      <x:c r="B8" s="104" t="n">
        <x:v>2026</x:v>
      </x:c>
      <x:c r="C8" s="120" t="n">
        <x:v>0.07</x:v>
      </x:c>
      <x:c r="D8" s="120" t="n">
        <x:v>0.475</x:v>
      </x:c>
      <x:c r="E8" s="120" t="n">
        <x:v>0.328</x:v>
      </x:c>
      <x:c r="F8" s="120" t="n">
        <x:v>0.272</x:v>
      </x:c>
      <x:c r="G8" s="120" t="n">
        <x:v>0.028</x:v>
      </x:c>
      <x:c r="H8" s="120" t="n">
        <x:v>0.25</x:v>
      </x:c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119" t="str">
        <x:v>Upside Case</x:v>
      </x:c>
      <x:c r="B9" s="104" t="n">
        <x:v>2027</x:v>
      </x:c>
      <x:c r="C9" s="120" t="n">
        <x:v>0.065</x:v>
      </x:c>
      <x:c r="D9" s="120" t="n">
        <x:v>0.48</x:v>
      </x:c>
      <x:c r="E9" s="120" t="n">
        <x:v>0.332</x:v>
      </x:c>
      <x:c r="F9" s="120" t="n">
        <x:v>0.278</x:v>
      </x:c>
      <x:c r="G9" s="120" t="n">
        <x:v>0.028</x:v>
      </x:c>
      <x:c r="H9" s="120" t="n">
        <x:v>0.255</x:v>
      </x:c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119" t="str">
        <x:v>Upside Case</x:v>
      </x:c>
      <x:c r="B10" s="104" t="n">
        <x:v>2028</x:v>
      </x:c>
      <x:c r="C10" s="120" t="n">
        <x:v>0.06</x:v>
      </x:c>
      <x:c r="D10" s="120" t="n">
        <x:v>0.483</x:v>
      </x:c>
      <x:c r="E10" s="120" t="n">
        <x:v>0.335</x:v>
      </x:c>
      <x:c r="F10" s="120" t="n">
        <x:v>0.28</x:v>
      </x:c>
      <x:c r="G10" s="120" t="n">
        <x:v>0.028</x:v>
      </x:c>
      <x:c r="H10" s="120" t="n">
        <x:v>0.26</x:v>
      </x:c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119" t="str">
        <x:v>Downside Case</x:v>
      </x:c>
      <x:c r="B11" s="104" t="n">
        <x:v>2026</x:v>
      </x:c>
      <x:c r="C11" s="120" t="n">
        <x:v>0.02</x:v>
      </x:c>
      <x:c r="D11" s="120" t="n">
        <x:v>0.46</x:v>
      </x:c>
      <x:c r="E11" s="120" t="n">
        <x:v>0.305</x:v>
      </x:c>
      <x:c r="F11" s="120" t="n">
        <x:v>0.25</x:v>
      </x:c>
      <x:c r="G11" s="120" t="n">
        <x:v>0.032</x:v>
      </x:c>
      <x:c r="H11" s="120" t="n">
        <x:v>0.225</x:v>
      </x:c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119" t="str">
        <x:v>Downside Case</x:v>
      </x:c>
      <x:c r="B12" s="104" t="n">
        <x:v>2027</x:v>
      </x:c>
      <x:c r="C12" s="120" t="n">
        <x:v>0.025</x:v>
      </x:c>
      <x:c r="D12" s="120" t="n">
        <x:v>0.462</x:v>
      </x:c>
      <x:c r="E12" s="120" t="n">
        <x:v>0.308</x:v>
      </x:c>
      <x:c r="F12" s="120" t="n">
        <x:v>0.252</x:v>
      </x:c>
      <x:c r="G12" s="120" t="n">
        <x:v>0.032</x:v>
      </x:c>
      <x:c r="H12" s="120" t="n">
        <x:v>0.228</x:v>
      </x:c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119" t="str">
        <x:v>Downside Case</x:v>
      </x:c>
      <x:c r="B13" s="104" t="n">
        <x:v>2028</x:v>
      </x:c>
      <x:c r="C13" s="120" t="n">
        <x:v>0.03</x:v>
      </x:c>
      <x:c r="D13" s="120" t="n">
        <x:v>0.465</x:v>
      </x:c>
      <x:c r="E13" s="120" t="n">
        <x:v>0.31</x:v>
      </x:c>
      <x:c r="F13" s="120" t="n">
        <x:v>0.255</x:v>
      </x:c>
      <x:c r="G13" s="120" t="n">
        <x:v>0.032</x:v>
      </x:c>
      <x:c r="H13" s="120" t="n">
        <x:v>0.23</x:v>
      </x:c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bf6252bcf21435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10.630000114440918" hidden="0" customWidth="1"/>
    <x:col min="3" max="3" width="12.630000114440918" hidden="0" customWidth="1"/>
    <x:col min="4" max="4" width="14.880000114440918" hidden="0" customWidth="1"/>
    <x:col min="5" max="5" width="19.6299991607666" hidden="0" customWidth="1"/>
    <x:col min="6" max="6" width="14.880000114440918" hidden="0" customWidth="1"/>
    <x:col min="7" max="7" width="21.6299991607666" hidden="0" customWidth="1"/>
    <x:col min="8" max="8" width="17.3799991607666" hidden="0" customWidth="1"/>
  </x:cols>
  <x:sheetData>
    <x:row r="1">
      <x:c r="A1" s="5" t="str">
        <x:v>Apple Inc. 3-Year Forecast Output ($mm)</x:v>
      </x:c>
      <x:c r="B1" s="5"/>
      <x:c r="C1" s="5"/>
      <x:c r="D1" s="5"/>
      <x:c r="E1" s="5"/>
      <x:c r="F1" s="5"/>
      <x:c r="G1" s="5"/>
      <x:c r="H1" s="5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>
      <x:c r="A2" s="118" t="str">
        <x:v>Forecasts use FY2025 revenue as baseline and apply scenario-based growth and margin assumptions.</x:v>
      </x:c>
      <x:c r="B2" s="118" t="str">
        <x:v>Forecasts use FY2025 revenue as baseline and apply scenario-based growth and margin assumptions.</x:v>
      </x:c>
      <x:c r="C2" s="118" t="str">
        <x:v>Forecasts use FY2025 revenue as baseline and apply scenario-based growth and margin assumptions.</x:v>
      </x:c>
      <x:c r="D2" s="118" t="str">
        <x:v>Forecasts use FY2025 revenue as baseline and apply scenario-based growth and margin assumptions.</x:v>
      </x:c>
      <x:c r="E2" s="118" t="str">
        <x:v>Forecasts use FY2025 revenue as baseline and apply scenario-based growth and margin assumptions.</x:v>
      </x:c>
      <x:c r="F2" s="118" t="str">
        <x:v>Forecasts use FY2025 revenue as baseline and apply scenario-based growth and margin assumptions.</x:v>
      </x:c>
      <x:c r="G2" s="118" t="str">
        <x:v>Forecasts use FY2025 revenue as baseline and apply scenario-based growth and margin assumptions.</x:v>
      </x:c>
      <x:c r="H2" s="118" t="str">
        <x:v>Forecasts use FY2025 revenue as baseline and apply scenario-based growth and margin assumptions.</x:v>
      </x:c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86"/>
      <x:c r="B3" s="86"/>
      <x:c r="C3" s="86"/>
      <x:c r="D3" s="86"/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>
      <x:c r="A4" s="14" t="str">
        <x:v>Scenario</x:v>
      </x:c>
      <x:c r="B4" s="14" t="str">
        <x:v>Forecast Year</x:v>
      </x:c>
      <x:c r="C4" s="14" t="str">
        <x:v>Revenue ($mm)</x:v>
      </x:c>
      <x:c r="D4" s="14" t="str">
        <x:v>Gross Profit ($mm)</x:v>
      </x:c>
      <x:c r="E4" s="14" t="str">
        <x:v>Operating Income ($mm)</x:v>
      </x:c>
      <x:c r="F4" s="14" t="str">
        <x:v>Net Income ($mm)</x:v>
      </x:c>
      <x:c r="G4" s="14" t="str">
        <x:v>Capital Expenditures ($mm)</x:v>
      </x:c>
      <x:c r="H4" s="14" t="str">
        <x:v>Free Cash Flow ($mm)</x:v>
      </x:c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112" t="str">
        <x:f>'Forecast Assumptions'!A5</x:f>
        <x:v>Base Case</x:v>
      </x:c>
      <x:c r="B5" s="124" t="n">
        <x:f>'Forecast Assumptions'!B5</x:f>
        <x:v>2026</x:v>
      </x:c>
      <x:c r="C5" s="125" t="n">
        <x:f>'Historical Financials'!C8*(1+'Forecast Assumptions'!C5)</x:f>
        <x:v>436969.05000000005</x:v>
      </x:c>
      <x:c r="D5" s="125" t="n">
        <x:f>C5*'Forecast Assumptions'!D5</x:f>
        <x:v>205375.4535</x:v>
      </x:c>
      <x:c r="E5" s="125" t="n">
        <x:f>C5*'Forecast Assumptions'!E5</x:f>
        <x:v>139830.09600000002</x:v>
      </x:c>
      <x:c r="F5" s="125" t="n">
        <x:f>C5*'Forecast Assumptions'!F5</x:f>
        <x:v>115796.79825000002</x:v>
      </x:c>
      <x:c r="G5" s="125" t="n">
        <x:f>C5*'Forecast Assumptions'!G5</x:f>
        <x:v>13109.0715</x:v>
      </x:c>
      <x:c r="H5" s="125" t="n">
        <x:f>C5*'Forecast Assumptions'!H5</x:f>
        <x:v>104872.572</x:v>
      </x:c>
      <x:c r="I5" s="86"/>
      <x:c r="J5" s="86"/>
      <x:c r="K5" s="86"/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112" t="str">
        <x:f>'Forecast Assumptions'!A6</x:f>
        <x:v>Base Case</x:v>
      </x:c>
      <x:c r="B6" s="124" t="n">
        <x:f>'Forecast Assumptions'!B6</x:f>
        <x:v>2027</x:v>
      </x:c>
      <x:c r="C6" s="125" t="n">
        <x:f>C5*(1+'Forecast Assumptions'!C6)</x:f>
        <x:v>456632.65725</x:v>
      </x:c>
      <x:c r="D6" s="125" t="n">
        <x:f>C6*'Forecast Assumptions'!D6</x:f>
        <x:v>215530.61422199997</x:v>
      </x:c>
      <x:c r="E6" s="125" t="n">
        <x:f>C6*'Forecast Assumptions'!E6</x:f>
        <x:v>147035.7156345</x:v>
      </x:c>
      <x:c r="F6" s="125" t="n">
        <x:f>C6*'Forecast Assumptions'!F6</x:f>
        <x:v>121920.91948575</x:v>
      </x:c>
      <x:c r="G6" s="125" t="n">
        <x:f>C6*'Forecast Assumptions'!G6</x:f>
        <x:v>13698.979717499999</x:v>
      </x:c>
      <x:c r="H6" s="125" t="n">
        <x:f>C6*'Forecast Assumptions'!H6</x:f>
        <x:v>110505.1030545</x:v>
      </x:c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112" t="str">
        <x:f>'Forecast Assumptions'!A7</x:f>
        <x:v>Base Case</x:v>
      </x:c>
      <x:c r="B7" s="124" t="n">
        <x:f>'Forecast Assumptions'!B7</x:f>
        <x:v>2028</x:v>
      </x:c>
      <x:c r="C7" s="125" t="n">
        <x:f>C6*(1+'Forecast Assumptions'!C7)</x:f>
        <x:v>474897.96354</x:v>
      </x:c>
      <x:c r="D7" s="125" t="n">
        <x:f>C7*'Forecast Assumptions'!D7</x:f>
        <x:v>225576.53268150002</x:v>
      </x:c>
      <x:c r="E7" s="125" t="n">
        <x:f>C7*'Forecast Assumptions'!E7</x:f>
        <x:v>154341.8381505</x:v>
      </x:c>
      <x:c r="F7" s="125" t="n">
        <x:f>C7*'Forecast Assumptions'!F7</x:f>
        <x:v>128222.45015580002</x:v>
      </x:c>
      <x:c r="G7" s="125" t="n">
        <x:f>C7*'Forecast Assumptions'!G7</x:f>
        <x:v>14246.938906200001</x:v>
      </x:c>
      <x:c r="H7" s="125" t="n">
        <x:f>C7*'Forecast Assumptions'!H7</x:f>
        <x:v>116350.0010673</x:v>
      </x:c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112" t="str">
        <x:f>'Forecast Assumptions'!A8</x:f>
        <x:v>Upside Case</x:v>
      </x:c>
      <x:c r="B8" s="124" t="n">
        <x:f>'Forecast Assumptions'!B8</x:f>
        <x:v>2026</x:v>
      </x:c>
      <x:c r="C8" s="125" t="n">
        <x:f>'Historical Financials'!C8*(1+'Forecast Assumptions'!C8)</x:f>
        <x:v>445292.27</x:v>
      </x:c>
      <x:c r="D8" s="125" t="n">
        <x:f>C8*'Forecast Assumptions'!D8</x:f>
        <x:v>211513.82825</x:v>
      </x:c>
      <x:c r="E8" s="125" t="n">
        <x:f>C8*'Forecast Assumptions'!E8</x:f>
        <x:v>146055.86456000002</x:v>
      </x:c>
      <x:c r="F8" s="125" t="n">
        <x:f>C8*'Forecast Assumptions'!F8</x:f>
        <x:v>121119.49744000002</x:v>
      </x:c>
      <x:c r="G8" s="125" t="n">
        <x:f>C8*'Forecast Assumptions'!G8</x:f>
        <x:v>12468.183560000001</x:v>
      </x:c>
      <x:c r="H8" s="125" t="n">
        <x:f>C8*'Forecast Assumptions'!H8</x:f>
        <x:v>111323.0675</x:v>
      </x:c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112" t="str">
        <x:f>'Forecast Assumptions'!A9</x:f>
        <x:v>Upside Case</x:v>
      </x:c>
      <x:c r="B9" s="124" t="n">
        <x:f>'Forecast Assumptions'!B9</x:f>
        <x:v>2027</x:v>
      </x:c>
      <x:c r="C9" s="125" t="n">
        <x:f>C8*(1+'Forecast Assumptions'!C9)</x:f>
        <x:v>474236.26755</x:v>
      </x:c>
      <x:c r="D9" s="125" t="n">
        <x:f>C9*'Forecast Assumptions'!D9</x:f>
        <x:v>227633.408424</x:v>
      </x:c>
      <x:c r="E9" s="125" t="n">
        <x:f>C9*'Forecast Assumptions'!E9</x:f>
        <x:v>157446.4408266</x:v>
      </x:c>
      <x:c r="F9" s="125" t="n">
        <x:f>C9*'Forecast Assumptions'!F9</x:f>
        <x:v>131837.6823789</x:v>
      </x:c>
      <x:c r="G9" s="125" t="n">
        <x:f>C9*'Forecast Assumptions'!G9</x:f>
        <x:v>13278.6154914</x:v>
      </x:c>
      <x:c r="H9" s="125" t="n">
        <x:f>C9*'Forecast Assumptions'!H9</x:f>
        <x:v>120930.24822525</x:v>
      </x:c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112" t="str">
        <x:f>'Forecast Assumptions'!A10</x:f>
        <x:v>Upside Case</x:v>
      </x:c>
      <x:c r="B10" s="124" t="n">
        <x:f>'Forecast Assumptions'!B10</x:f>
        <x:v>2028</x:v>
      </x:c>
      <x:c r="C10" s="125" t="n">
        <x:f>C9*(1+'Forecast Assumptions'!C10)</x:f>
        <x:v>502690.443603</x:v>
      </x:c>
      <x:c r="D10" s="125" t="n">
        <x:f>C10*'Forecast Assumptions'!D10</x:f>
        <x:v>242799.484260249</x:v>
      </x:c>
      <x:c r="E10" s="125" t="n">
        <x:f>C10*'Forecast Assumptions'!E10</x:f>
        <x:v>168401.298607005</x:v>
      </x:c>
      <x:c r="F10" s="125" t="n">
        <x:f>C10*'Forecast Assumptions'!F10</x:f>
        <x:v>140753.32420884003</x:v>
      </x:c>
      <x:c r="G10" s="125" t="n">
        <x:f>C10*'Forecast Assumptions'!G10</x:f>
        <x:v>14075.332420884</x:v>
      </x:c>
      <x:c r="H10" s="125" t="n">
        <x:f>C10*'Forecast Assumptions'!H10</x:f>
        <x:v>130699.51533678001</x:v>
      </x:c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112" t="str">
        <x:f>'Forecast Assumptions'!A11</x:f>
        <x:v>Downside Case</x:v>
      </x:c>
      <x:c r="B11" s="124" t="n">
        <x:f>'Forecast Assumptions'!B11</x:f>
        <x:v>2026</x:v>
      </x:c>
      <x:c r="C11" s="125" t="n">
        <x:f>'Historical Financials'!C8*(1+'Forecast Assumptions'!C11)</x:f>
        <x:v>424484.22000000003</x:v>
      </x:c>
      <x:c r="D11" s="125" t="n">
        <x:f>C11*'Forecast Assumptions'!D11</x:f>
        <x:v>195262.74120000002</x:v>
      </x:c>
      <x:c r="E11" s="125" t="n">
        <x:f>C11*'Forecast Assumptions'!E11</x:f>
        <x:v>129467.68710000001</x:v>
      </x:c>
      <x:c r="F11" s="125" t="n">
        <x:f>C11*'Forecast Assumptions'!F11</x:f>
        <x:v>106121.05500000001</x:v>
      </x:c>
      <x:c r="G11" s="125" t="n">
        <x:f>C11*'Forecast Assumptions'!G11</x:f>
        <x:v>13583.495040000002</x:v>
      </x:c>
      <x:c r="H11" s="125" t="n">
        <x:f>C11*'Forecast Assumptions'!H11</x:f>
        <x:v>95508.9495</x:v>
      </x:c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112" t="str">
        <x:f>'Forecast Assumptions'!A12</x:f>
        <x:v>Downside Case</x:v>
      </x:c>
      <x:c r="B12" s="124" t="n">
        <x:f>'Forecast Assumptions'!B12</x:f>
        <x:v>2027</x:v>
      </x:c>
      <x:c r="C12" s="125" t="n">
        <x:f>C11*(1+'Forecast Assumptions'!C12)</x:f>
        <x:v>435096.3255</x:v>
      </x:c>
      <x:c r="D12" s="125" t="n">
        <x:f>C12*'Forecast Assumptions'!D12</x:f>
        <x:v>201014.502381</x:v>
      </x:c>
      <x:c r="E12" s="125" t="n">
        <x:f>C12*'Forecast Assumptions'!E12</x:f>
        <x:v>134009.668254</x:v>
      </x:c>
      <x:c r="F12" s="125" t="n">
        <x:f>C12*'Forecast Assumptions'!F12</x:f>
        <x:v>109644.274026</x:v>
      </x:c>
      <x:c r="G12" s="125" t="n">
        <x:f>C12*'Forecast Assumptions'!G12</x:f>
        <x:v>13923.082416</x:v>
      </x:c>
      <x:c r="H12" s="125" t="n">
        <x:f>C12*'Forecast Assumptions'!H12</x:f>
        <x:v>99201.962214</x:v>
      </x:c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112" t="str">
        <x:f>'Forecast Assumptions'!A13</x:f>
        <x:v>Downside Case</x:v>
      </x:c>
      <x:c r="B13" s="124" t="n">
        <x:f>'Forecast Assumptions'!B13</x:f>
        <x:v>2028</x:v>
      </x:c>
      <x:c r="C13" s="125" t="n">
        <x:f>C12*(1+'Forecast Assumptions'!C13)</x:f>
        <x:v>448149.215265</x:v>
      </x:c>
      <x:c r="D13" s="125" t="n">
        <x:f>C13*'Forecast Assumptions'!D13</x:f>
        <x:v>208389.385098225</x:v>
      </x:c>
      <x:c r="E13" s="125" t="n">
        <x:f>C13*'Forecast Assumptions'!E13</x:f>
        <x:v>138926.25673215</x:v>
      </x:c>
      <x:c r="F13" s="125" t="n">
        <x:f>C13*'Forecast Assumptions'!F13</x:f>
        <x:v>114278.049892575</x:v>
      </x:c>
      <x:c r="G13" s="125" t="n">
        <x:f>C13*'Forecast Assumptions'!G13</x:f>
        <x:v>14340.77488848</x:v>
      </x:c>
      <x:c r="H13" s="125" t="n">
        <x:f>C13*'Forecast Assumptions'!H13</x:f>
        <x:v>103074.31951095001</x:v>
      </x:c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7eb2e92290b433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0" hidden="0" customWidth="1"/>
    <x:col min="4" max="4" width="40" hidden="0" customWidth="1"/>
  </x:cols>
  <x:sheetData>
    <x:row r="1">
      <x:c r="A1" s="5" t="str">
        <x:v>Source Documentation</x:v>
      </x:c>
      <x:c r="B1" s="5"/>
      <x:c r="C1" s="5"/>
      <x:c r="D1" s="5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86"/>
      <x:c r="R1" s="86"/>
      <x:c r="S1" s="86"/>
      <x:c r="T1" s="86"/>
      <x:c r="U1" s="86"/>
      <x:c r="V1" s="86"/>
      <x:c r="W1" s="86"/>
      <x:c r="X1" s="86"/>
      <x:c r="Y1" s="86"/>
      <x:c r="Z1" s="86"/>
    </x:row>
    <x:row r="2">
      <x:c r="A2" s="86"/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6"/>
      <x:c r="R2" s="86"/>
      <x:c r="S2" s="86"/>
      <x:c r="T2" s="86"/>
      <x:c r="U2" s="86"/>
      <x:c r="V2" s="86"/>
      <x:c r="W2" s="86"/>
      <x:c r="X2" s="86"/>
      <x:c r="Y2" s="86"/>
      <x:c r="Z2" s="86"/>
    </x:row>
    <x:row r="3">
      <x:c r="A3" s="14" t="str">
        <x:v>Source</x:v>
      </x:c>
      <x:c r="B3" s="14" t="str">
        <x:v>Description</x:v>
      </x:c>
      <x:c r="C3" s="14" t="str">
        <x:v>URL</x:v>
      </x:c>
      <x:c r="D3" s="14" t="str">
        <x:v>Notes</x:v>
      </x:c>
      <x:c r="E3" s="86"/>
      <x:c r="F3" s="86"/>
      <x:c r="G3" s="86"/>
      <x:c r="H3" s="86"/>
      <x:c r="I3" s="86"/>
      <x:c r="J3" s="86"/>
      <x:c r="K3" s="86"/>
      <x:c r="L3" s="86"/>
      <x:c r="M3" s="86"/>
      <x:c r="N3" s="86"/>
      <x:c r="O3" s="86"/>
      <x:c r="P3" s="86"/>
      <x:c r="Q3" s="86"/>
      <x:c r="R3" s="86"/>
      <x:c r="S3" s="86"/>
      <x:c r="T3" s="86"/>
      <x:c r="U3" s="86"/>
      <x:c r="V3" s="86"/>
      <x:c r="W3" s="86"/>
      <x:c r="X3" s="86"/>
      <x:c r="Y3" s="86"/>
      <x:c r="Z3" s="86"/>
    </x:row>
    <x:row r="4">
      <x:c r="A4" s="94" t="str">
        <x:v>Apple FY2025 Form 10-K</x:v>
      </x:c>
      <x:c r="B4" s="94" t="str">
        <x:v>Used for FY2025-FY2023 historical financials and metrics.</x:v>
      </x:c>
      <x:c r="C4" s="94" t="str">
        <x:v>https://www.sec.gov/Archives/edgar/data/320193/000032019325000079/aapl-20250927.htm</x:v>
      </x:c>
      <x:c r="D4" s="94" t="str">
        <x:v>Public SEC filing.</x:v>
      </x:c>
      <x:c r="E4" s="86"/>
      <x:c r="F4" s="86"/>
      <x:c r="G4" s="86"/>
      <x:c r="H4" s="86"/>
      <x:c r="I4" s="86"/>
      <x:c r="J4" s="86"/>
      <x:c r="K4" s="86"/>
      <x:c r="L4" s="86"/>
      <x:c r="M4" s="86"/>
      <x:c r="N4" s="86"/>
      <x:c r="O4" s="86"/>
      <x:c r="P4" s="86"/>
      <x:c r="Q4" s="86"/>
      <x:c r="R4" s="86"/>
      <x:c r="S4" s="86"/>
      <x:c r="T4" s="86"/>
      <x:c r="U4" s="86"/>
      <x:c r="V4" s="86"/>
      <x:c r="W4" s="86"/>
      <x:c r="X4" s="86"/>
      <x:c r="Y4" s="86"/>
      <x:c r="Z4" s="86"/>
    </x:row>
    <x:row r="5">
      <x:c r="A5" s="94" t="str">
        <x:v>Apple FY2023 Form 10-K</x:v>
      </x:c>
      <x:c r="B5" s="94" t="str">
        <x:v>Used for FY2022-FY2021 income statement and cash flow data.</x:v>
      </x:c>
      <x:c r="C5" s="94" t="str">
        <x:v>https://www.sec.gov/Archives/edgar/data/320193/000032019323000106/aapl-20230930.htm</x:v>
      </x:c>
      <x:c r="D5" s="94" t="str">
        <x:v>Public SEC filing.</x:v>
      </x:c>
      <x:c r="E5" s="86"/>
      <x:c r="F5" s="86"/>
      <x:c r="G5" s="86"/>
      <x:c r="H5" s="86"/>
      <x:c r="I5" s="86"/>
      <x:c r="J5" s="86"/>
      <x:c r="K5" s="86"/>
      <x:c r="L5" s="86"/>
      <x:c r="M5" s="86"/>
      <x:c r="N5" s="86"/>
      <x:c r="O5" s="86"/>
      <x:c r="P5" s="86"/>
      <x:c r="Q5" s="86"/>
      <x:c r="R5" s="86"/>
      <x:c r="S5" s="86"/>
      <x:c r="T5" s="86"/>
      <x:c r="U5" s="86"/>
      <x:c r="V5" s="86"/>
      <x:c r="W5" s="86"/>
      <x:c r="X5" s="86"/>
      <x:c r="Y5" s="86"/>
      <x:c r="Z5" s="86"/>
    </x:row>
    <x:row r="6">
      <x:c r="A6" s="94" t="str">
        <x:v>Apple FY2021 Q4 Consolidated Financial Statements</x:v>
      </x:c>
      <x:c r="B6" s="94" t="str">
        <x:v>Used for FY2021 balance sheet data.</x:v>
      </x:c>
      <x:c r="C6" s="94" t="str">
        <x:v>https://www.apple.com/newsroom/pdfs/FY21_Q4_Consolidated_Financial_Statements.pdf</x:v>
      </x:c>
      <x:c r="D6" s="94" t="str">
        <x:v>Public Apple investor document.</x:v>
      </x:c>
      <x:c r="E6" s="86"/>
      <x:c r="F6" s="86"/>
      <x:c r="G6" s="86"/>
      <x:c r="H6" s="86"/>
      <x:c r="I6" s="86"/>
      <x:c r="J6" s="86"/>
      <x:c r="K6" s="86"/>
      <x:c r="L6" s="86"/>
      <x:c r="M6" s="86"/>
      <x:c r="N6" s="86"/>
      <x:c r="O6" s="86"/>
      <x:c r="P6" s="86"/>
      <x:c r="Q6" s="86"/>
      <x:c r="R6" s="86"/>
      <x:c r="S6" s="86"/>
      <x:c r="T6" s="86"/>
      <x:c r="U6" s="86"/>
      <x:c r="V6" s="86"/>
      <x:c r="W6" s="86"/>
      <x:c r="X6" s="86"/>
      <x:c r="Y6" s="86"/>
      <x:c r="Z6" s="86"/>
    </x:row>
    <x:row r="7">
      <x:c r="A7" s="86"/>
      <x:c r="B7" s="86"/>
      <x:c r="C7" s="86"/>
      <x:c r="D7" s="86"/>
      <x:c r="E7" s="86"/>
      <x:c r="F7" s="86"/>
      <x:c r="G7" s="86"/>
      <x:c r="H7" s="86"/>
      <x:c r="I7" s="86"/>
      <x:c r="J7" s="86"/>
      <x:c r="K7" s="86"/>
      <x:c r="L7" s="86"/>
      <x:c r="M7" s="86"/>
      <x:c r="N7" s="86"/>
      <x:c r="O7" s="86"/>
      <x:c r="P7" s="86"/>
      <x:c r="Q7" s="86"/>
      <x:c r="R7" s="86"/>
      <x:c r="S7" s="86"/>
      <x:c r="T7" s="86"/>
      <x:c r="U7" s="86"/>
      <x:c r="V7" s="86"/>
      <x:c r="W7" s="86"/>
      <x:c r="X7" s="86"/>
      <x:c r="Y7" s="86"/>
      <x:c r="Z7" s="86"/>
    </x:row>
    <x:row r="8">
      <x:c r="A8" s="86"/>
      <x:c r="B8" s="86"/>
      <x:c r="C8" s="86"/>
      <x:c r="D8" s="86"/>
      <x:c r="E8" s="86"/>
      <x:c r="F8" s="86"/>
      <x:c r="G8" s="86"/>
      <x:c r="H8" s="86"/>
      <x:c r="I8" s="86"/>
      <x:c r="J8" s="86"/>
      <x:c r="K8" s="86"/>
      <x:c r="L8" s="86"/>
      <x:c r="M8" s="86"/>
      <x:c r="N8" s="86"/>
      <x:c r="O8" s="86"/>
      <x:c r="P8" s="86"/>
      <x:c r="Q8" s="86"/>
      <x:c r="R8" s="86"/>
      <x:c r="S8" s="86"/>
      <x:c r="T8" s="86"/>
      <x:c r="U8" s="86"/>
      <x:c r="V8" s="86"/>
      <x:c r="W8" s="86"/>
      <x:c r="X8" s="86"/>
      <x:c r="Y8" s="86"/>
      <x:c r="Z8" s="86"/>
    </x:row>
    <x:row r="9">
      <x:c r="A9" s="86"/>
      <x:c r="B9" s="86"/>
      <x:c r="C9" s="86"/>
      <x:c r="D9" s="86"/>
      <x:c r="E9" s="86"/>
      <x:c r="F9" s="86"/>
      <x:c r="G9" s="86"/>
      <x:c r="H9" s="86"/>
      <x:c r="I9" s="86"/>
      <x:c r="J9" s="86"/>
      <x:c r="K9" s="86"/>
      <x:c r="L9" s="86"/>
      <x:c r="M9" s="86"/>
      <x:c r="N9" s="86"/>
      <x:c r="O9" s="86"/>
      <x:c r="P9" s="86"/>
      <x:c r="Q9" s="86"/>
      <x:c r="R9" s="86"/>
      <x:c r="S9" s="86"/>
      <x:c r="T9" s="86"/>
      <x:c r="U9" s="86"/>
      <x:c r="V9" s="86"/>
      <x:c r="W9" s="86"/>
      <x:c r="X9" s="86"/>
      <x:c r="Y9" s="86"/>
      <x:c r="Z9" s="86"/>
    </x:row>
    <x:row r="10">
      <x:c r="A10" s="86"/>
      <x:c r="B10" s="86"/>
      <x:c r="C10" s="86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6"/>
      <x:c r="O10" s="86"/>
      <x:c r="P10" s="86"/>
      <x:c r="Q10" s="86"/>
      <x:c r="R10" s="86"/>
      <x:c r="S10" s="86"/>
      <x:c r="T10" s="86"/>
      <x:c r="U10" s="86"/>
      <x:c r="V10" s="86"/>
      <x:c r="W10" s="86"/>
      <x:c r="X10" s="86"/>
      <x:c r="Y10" s="86"/>
      <x:c r="Z10" s="86"/>
    </x:row>
    <x:row r="11">
      <x:c r="A11" s="86"/>
      <x:c r="B11" s="86"/>
      <x:c r="C11" s="86"/>
      <x:c r="D11" s="86"/>
      <x:c r="E11" s="86"/>
      <x:c r="F11" s="86"/>
      <x:c r="G11" s="86"/>
      <x:c r="H11" s="86"/>
      <x:c r="I11" s="86"/>
      <x:c r="J11" s="86"/>
      <x:c r="K11" s="86"/>
      <x:c r="L11" s="86"/>
      <x:c r="M11" s="86"/>
      <x:c r="N11" s="86"/>
      <x:c r="O11" s="86"/>
      <x:c r="P11" s="86"/>
      <x:c r="Q11" s="86"/>
      <x:c r="R11" s="86"/>
      <x:c r="S11" s="86"/>
      <x:c r="T11" s="86"/>
      <x:c r="U11" s="86"/>
      <x:c r="V11" s="86"/>
      <x:c r="W11" s="86"/>
      <x:c r="X11" s="86"/>
      <x:c r="Y11" s="86"/>
      <x:c r="Z11" s="86"/>
    </x:row>
    <x:row r="12">
      <x:c r="A12" s="86"/>
      <x:c r="B12" s="86"/>
      <x:c r="C12" s="86"/>
      <x:c r="D12" s="86"/>
      <x:c r="E12" s="86"/>
      <x:c r="F12" s="86"/>
      <x:c r="G12" s="86"/>
      <x:c r="H12" s="86"/>
      <x:c r="I12" s="86"/>
      <x:c r="J12" s="86"/>
      <x:c r="K12" s="86"/>
      <x:c r="L12" s="86"/>
      <x:c r="M12" s="86"/>
      <x:c r="N12" s="86"/>
      <x:c r="O12" s="86"/>
      <x:c r="P12" s="86"/>
      <x:c r="Q12" s="86"/>
      <x:c r="R12" s="86"/>
      <x:c r="S12" s="86"/>
      <x:c r="T12" s="86"/>
      <x:c r="U12" s="86"/>
      <x:c r="V12" s="86"/>
      <x:c r="W12" s="86"/>
      <x:c r="X12" s="86"/>
      <x:c r="Y12" s="86"/>
      <x:c r="Z12" s="86"/>
    </x:row>
    <x:row r="13">
      <x:c r="A13" s="86"/>
      <x:c r="B13" s="86"/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  <x:c r="N13" s="86"/>
      <x:c r="O13" s="86"/>
      <x:c r="P13" s="86"/>
      <x:c r="Q13" s="86"/>
      <x:c r="R13" s="86"/>
      <x:c r="S13" s="86"/>
      <x:c r="T13" s="86"/>
      <x:c r="U13" s="86"/>
      <x:c r="V13" s="86"/>
      <x:c r="W13" s="86"/>
      <x:c r="X13" s="86"/>
      <x:c r="Y13" s="86"/>
      <x:c r="Z13" s="86"/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6"/>
      <x:c r="O14" s="86"/>
      <x:c r="P14" s="86"/>
      <x:c r="Q14" s="86"/>
      <x:c r="R14" s="86"/>
      <x:c r="S14" s="86"/>
      <x:c r="T14" s="86"/>
      <x:c r="U14" s="86"/>
      <x:c r="V14" s="86"/>
      <x:c r="W14" s="86"/>
      <x:c r="X14" s="86"/>
      <x:c r="Y14" s="86"/>
      <x:c r="Z14" s="86"/>
    </x:row>
    <x:row r="15">
      <x:c r="A15" s="86"/>
      <x:c r="B15" s="86"/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6"/>
      <x:c r="O15" s="86"/>
      <x:c r="P15" s="86"/>
      <x:c r="Q15" s="86"/>
      <x:c r="R15" s="86"/>
      <x:c r="S15" s="86"/>
      <x:c r="T15" s="86"/>
      <x:c r="U15" s="86"/>
      <x:c r="V15" s="86"/>
      <x:c r="W15" s="86"/>
      <x:c r="X15" s="86"/>
      <x:c r="Y15" s="86"/>
      <x:c r="Z15" s="86"/>
    </x:row>
    <x:row r="16">
      <x:c r="A16" s="86"/>
      <x:c r="B16" s="86"/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6"/>
      <x:c r="O16" s="86"/>
      <x:c r="P16" s="86"/>
      <x:c r="Q16" s="86"/>
      <x:c r="R16" s="86"/>
      <x:c r="S16" s="86"/>
      <x:c r="T16" s="86"/>
      <x:c r="U16" s="86"/>
      <x:c r="V16" s="86"/>
      <x:c r="W16" s="86"/>
      <x:c r="X16" s="86"/>
      <x:c r="Y16" s="86"/>
      <x:c r="Z16" s="86"/>
    </x:row>
    <x:row r="17">
      <x:c r="A17" s="86"/>
      <x:c r="B17" s="86"/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6"/>
      <x:c r="O17" s="86"/>
      <x:c r="P17" s="86"/>
      <x:c r="Q17" s="86"/>
      <x:c r="R17" s="86"/>
      <x:c r="S17" s="86"/>
      <x:c r="T17" s="86"/>
      <x:c r="U17" s="86"/>
      <x:c r="V17" s="86"/>
      <x:c r="W17" s="86"/>
      <x:c r="X17" s="86"/>
      <x:c r="Y17" s="86"/>
      <x:c r="Z17" s="86"/>
    </x:row>
    <x:row r="18">
      <x:c r="A18" s="86"/>
      <x:c r="B18" s="86"/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6"/>
      <x:c r="O18" s="86"/>
      <x:c r="P18" s="86"/>
      <x:c r="Q18" s="86"/>
      <x:c r="R18" s="86"/>
      <x:c r="S18" s="86"/>
      <x:c r="T18" s="86"/>
      <x:c r="U18" s="86"/>
      <x:c r="V18" s="86"/>
      <x:c r="W18" s="86"/>
      <x:c r="X18" s="86"/>
      <x:c r="Y18" s="86"/>
      <x:c r="Z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6"/>
      <x:c r="O19" s="86"/>
      <x:c r="P19" s="86"/>
      <x:c r="Q19" s="86"/>
      <x:c r="R19" s="86"/>
      <x:c r="S19" s="86"/>
      <x:c r="T19" s="86"/>
      <x:c r="U19" s="86"/>
      <x:c r="V19" s="86"/>
      <x:c r="W19" s="86"/>
      <x:c r="X19" s="86"/>
      <x:c r="Y19" s="86"/>
      <x:c r="Z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6"/>
      <x:c r="O20" s="86"/>
      <x:c r="P20" s="86"/>
      <x:c r="Q20" s="86"/>
      <x:c r="R20" s="86"/>
      <x:c r="S20" s="86"/>
      <x:c r="T20" s="86"/>
      <x:c r="U20" s="86"/>
      <x:c r="V20" s="86"/>
      <x:c r="W20" s="86"/>
      <x:c r="X20" s="86"/>
      <x:c r="Y20" s="86"/>
      <x:c r="Z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6"/>
      <x:c r="O21" s="86"/>
      <x:c r="P21" s="86"/>
      <x:c r="Q21" s="86"/>
      <x:c r="R21" s="86"/>
      <x:c r="S21" s="86"/>
      <x:c r="T21" s="86"/>
      <x:c r="U21" s="86"/>
      <x:c r="V21" s="86"/>
      <x:c r="W21" s="86"/>
      <x:c r="X21" s="86"/>
      <x:c r="Y21" s="86"/>
      <x:c r="Z21" s="86"/>
    </x:row>
    <x:row r="22">
      <x:c r="A22" s="86"/>
      <x:c r="B22" s="86"/>
      <x:c r="C22" s="86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6"/>
      <x:c r="O22" s="86"/>
      <x:c r="P22" s="86"/>
      <x:c r="Q22" s="86"/>
      <x:c r="R22" s="86"/>
      <x:c r="S22" s="86"/>
      <x:c r="T22" s="86"/>
      <x:c r="U22" s="86"/>
      <x:c r="V22" s="86"/>
      <x:c r="W22" s="86"/>
      <x:c r="X22" s="86"/>
      <x:c r="Y22" s="86"/>
      <x:c r="Z22" s="86"/>
    </x:row>
    <x:row r="23">
      <x:c r="A23" s="86"/>
      <x:c r="B23" s="86"/>
      <x:c r="C23" s="86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6"/>
      <x:c r="O23" s="86"/>
      <x:c r="P23" s="86"/>
      <x:c r="Q23" s="86"/>
      <x:c r="R23" s="86"/>
      <x:c r="S23" s="86"/>
      <x:c r="T23" s="86"/>
      <x:c r="U23" s="86"/>
      <x:c r="V23" s="86"/>
      <x:c r="W23" s="86"/>
      <x:c r="X23" s="86"/>
      <x:c r="Y23" s="86"/>
      <x:c r="Z23" s="86"/>
    </x:row>
    <x:row r="24">
      <x:c r="A24" s="86"/>
      <x:c r="B24" s="86"/>
      <x:c r="C24" s="86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6"/>
      <x:c r="O24" s="86"/>
      <x:c r="P24" s="86"/>
      <x:c r="Q24" s="86"/>
      <x:c r="R24" s="86"/>
      <x:c r="S24" s="86"/>
      <x:c r="T24" s="86"/>
      <x:c r="U24" s="86"/>
      <x:c r="V24" s="86"/>
      <x:c r="W24" s="86"/>
      <x:c r="X24" s="86"/>
      <x:c r="Y24" s="86"/>
      <x:c r="Z24" s="86"/>
    </x:row>
    <x:row r="25">
      <x:c r="A25" s="86"/>
      <x:c r="B25" s="86"/>
      <x:c r="C25" s="86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6"/>
      <x:c r="O25" s="86"/>
      <x:c r="P25" s="86"/>
      <x:c r="Q25" s="86"/>
      <x:c r="R25" s="86"/>
      <x:c r="S25" s="86"/>
      <x:c r="T25" s="86"/>
      <x:c r="U25" s="86"/>
      <x:c r="V25" s="86"/>
      <x:c r="W25" s="86"/>
      <x:c r="X25" s="86"/>
      <x:c r="Y25" s="86"/>
      <x:c r="Z25" s="86"/>
    </x:row>
    <x:row r="26">
      <x:c r="A26" s="86"/>
      <x:c r="B26" s="86"/>
      <x:c r="C26" s="86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6"/>
      <x:c r="O26" s="86"/>
      <x:c r="P26" s="86"/>
      <x:c r="Q26" s="86"/>
      <x:c r="R26" s="86"/>
      <x:c r="S26" s="86"/>
      <x:c r="T26" s="86"/>
      <x:c r="U26" s="86"/>
      <x:c r="V26" s="86"/>
      <x:c r="W26" s="86"/>
      <x:c r="X26" s="86"/>
      <x:c r="Y26" s="86"/>
      <x:c r="Z26" s="86"/>
    </x:row>
    <x:row r="27">
      <x:c r="A27" s="86"/>
      <x:c r="B27" s="86"/>
      <x:c r="C27" s="86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6"/>
      <x:c r="O27" s="86"/>
      <x:c r="P27" s="86"/>
      <x:c r="Q27" s="86"/>
      <x:c r="R27" s="86"/>
      <x:c r="S27" s="86"/>
      <x:c r="T27" s="86"/>
      <x:c r="U27" s="86"/>
      <x:c r="V27" s="86"/>
      <x:c r="W27" s="86"/>
      <x:c r="X27" s="86"/>
      <x:c r="Y27" s="86"/>
      <x:c r="Z27" s="86"/>
    </x:row>
    <x:row r="28">
      <x:c r="A28" s="86"/>
      <x:c r="B28" s="86"/>
      <x:c r="C28" s="86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6"/>
      <x:c r="O28" s="86"/>
      <x:c r="P28" s="86"/>
      <x:c r="Q28" s="86"/>
      <x:c r="R28" s="86"/>
      <x:c r="S28" s="86"/>
      <x:c r="T28" s="86"/>
      <x:c r="U28" s="86"/>
      <x:c r="V28" s="86"/>
      <x:c r="W28" s="86"/>
      <x:c r="X28" s="86"/>
      <x:c r="Y28" s="86"/>
      <x:c r="Z28" s="86"/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6"/>
      <x:c r="O29" s="86"/>
      <x:c r="P29" s="86"/>
      <x:c r="Q29" s="86"/>
      <x:c r="R29" s="86"/>
      <x:c r="S29" s="86"/>
      <x:c r="T29" s="86"/>
      <x:c r="U29" s="86"/>
      <x:c r="V29" s="86"/>
      <x:c r="W29" s="86"/>
      <x:c r="X29" s="86"/>
      <x:c r="Y29" s="86"/>
      <x:c r="Z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6"/>
      <x:c r="O30" s="86"/>
      <x:c r="P30" s="86"/>
      <x:c r="Q30" s="86"/>
      <x:c r="R30" s="86"/>
      <x:c r="S30" s="86"/>
      <x:c r="T30" s="86"/>
      <x:c r="U30" s="86"/>
      <x:c r="V30" s="86"/>
      <x:c r="W30" s="86"/>
      <x:c r="X30" s="86"/>
      <x:c r="Y30" s="86"/>
      <x:c r="Z30" s="86"/>
    </x:row>
    <x:row r="31">
      <x:c r="A31" s="86"/>
      <x:c r="B31" s="86"/>
      <x:c r="C31" s="86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6"/>
      <x:c r="O31" s="86"/>
      <x:c r="P31" s="86"/>
      <x:c r="Q31" s="86"/>
      <x:c r="R31" s="86"/>
      <x:c r="S31" s="86"/>
      <x:c r="T31" s="86"/>
      <x:c r="U31" s="86"/>
      <x:c r="V31" s="86"/>
      <x:c r="W31" s="86"/>
      <x:c r="X31" s="86"/>
      <x:c r="Y31" s="86"/>
      <x:c r="Z31" s="86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6"/>
      <x:c r="O32" s="86"/>
      <x:c r="P32" s="86"/>
      <x:c r="Q32" s="86"/>
      <x:c r="R32" s="86"/>
      <x:c r="S32" s="86"/>
      <x:c r="T32" s="86"/>
      <x:c r="U32" s="86"/>
      <x:c r="V32" s="86"/>
      <x:c r="W32" s="86"/>
      <x:c r="X32" s="86"/>
      <x:c r="Y32" s="86"/>
      <x:c r="Z32" s="86"/>
    </x:row>
    <x:row r="33">
      <x:c r="A33" s="86"/>
      <x:c r="B33" s="86"/>
      <x:c r="C33" s="86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6"/>
      <x:c r="O33" s="86"/>
      <x:c r="P33" s="86"/>
      <x:c r="Q33" s="86"/>
      <x:c r="R33" s="86"/>
      <x:c r="S33" s="86"/>
      <x:c r="T33" s="86"/>
      <x:c r="U33" s="86"/>
      <x:c r="V33" s="86"/>
      <x:c r="W33" s="86"/>
      <x:c r="X33" s="86"/>
      <x:c r="Y33" s="86"/>
      <x:c r="Z33" s="86"/>
    </x:row>
    <x:row r="34">
      <x:c r="A34" s="86"/>
      <x:c r="B34" s="86"/>
      <x:c r="C34" s="86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6"/>
      <x:c r="O34" s="86"/>
      <x:c r="P34" s="86"/>
      <x:c r="Q34" s="86"/>
      <x:c r="R34" s="86"/>
      <x:c r="S34" s="86"/>
      <x:c r="T34" s="86"/>
      <x:c r="U34" s="86"/>
      <x:c r="V34" s="86"/>
      <x:c r="W34" s="86"/>
      <x:c r="X34" s="86"/>
      <x:c r="Y34" s="86"/>
      <x:c r="Z34" s="86"/>
    </x:row>
    <x:row r="35">
      <x:c r="A35" s="86"/>
      <x:c r="B35" s="86"/>
      <x:c r="C35" s="86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6"/>
      <x:c r="O35" s="86"/>
      <x:c r="P35" s="86"/>
      <x:c r="Q35" s="86"/>
      <x:c r="R35" s="86"/>
      <x:c r="S35" s="86"/>
      <x:c r="T35" s="86"/>
      <x:c r="U35" s="86"/>
      <x:c r="V35" s="86"/>
      <x:c r="W35" s="86"/>
      <x:c r="X35" s="86"/>
      <x:c r="Y35" s="86"/>
      <x:c r="Z35" s="86"/>
    </x:row>
    <x:row r="36">
      <x:c r="A36" s="86"/>
      <x:c r="B36" s="86"/>
      <x:c r="C36" s="86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6"/>
      <x:c r="O36" s="86"/>
      <x:c r="P36" s="86"/>
      <x:c r="Q36" s="86"/>
      <x:c r="R36" s="86"/>
      <x:c r="S36" s="86"/>
      <x:c r="T36" s="86"/>
      <x:c r="U36" s="86"/>
      <x:c r="V36" s="86"/>
      <x:c r="W36" s="86"/>
      <x:c r="X36" s="86"/>
      <x:c r="Y36" s="86"/>
      <x:c r="Z36" s="86"/>
    </x:row>
    <x:row r="37">
      <x:c r="A37" s="86"/>
      <x:c r="B37" s="86"/>
      <x:c r="C37" s="86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6"/>
      <x:c r="O37" s="86"/>
      <x:c r="P37" s="86"/>
      <x:c r="Q37" s="86"/>
      <x:c r="R37" s="86"/>
      <x:c r="S37" s="86"/>
      <x:c r="T37" s="86"/>
      <x:c r="U37" s="86"/>
      <x:c r="V37" s="86"/>
      <x:c r="W37" s="86"/>
      <x:c r="X37" s="86"/>
      <x:c r="Y37" s="86"/>
      <x:c r="Z37" s="86"/>
    </x:row>
    <x:row r="38">
      <x:c r="A38" s="86"/>
      <x:c r="B38" s="86"/>
      <x:c r="C38" s="86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6"/>
      <x:c r="O38" s="86"/>
      <x:c r="P38" s="86"/>
      <x:c r="Q38" s="86"/>
      <x:c r="R38" s="86"/>
      <x:c r="S38" s="86"/>
      <x:c r="T38" s="86"/>
      <x:c r="U38" s="86"/>
      <x:c r="V38" s="86"/>
      <x:c r="W38" s="86"/>
      <x:c r="X38" s="86"/>
      <x:c r="Y38" s="86"/>
      <x:c r="Z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6"/>
      <x:c r="O39" s="86"/>
      <x:c r="P39" s="86"/>
      <x:c r="Q39" s="86"/>
      <x:c r="R39" s="86"/>
      <x:c r="S39" s="86"/>
      <x:c r="T39" s="86"/>
      <x:c r="U39" s="86"/>
      <x:c r="V39" s="86"/>
      <x:c r="W39" s="86"/>
      <x:c r="X39" s="86"/>
      <x:c r="Y39" s="86"/>
      <x:c r="Z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6"/>
      <x:c r="O40" s="86"/>
      <x:c r="P40" s="86"/>
      <x:c r="Q40" s="86"/>
      <x:c r="R40" s="86"/>
      <x:c r="S40" s="86"/>
      <x:c r="T40" s="86"/>
      <x:c r="U40" s="86"/>
      <x:c r="V40" s="86"/>
      <x:c r="W40" s="86"/>
      <x:c r="X40" s="86"/>
      <x:c r="Y40" s="86"/>
      <x:c r="Z40" s="86"/>
    </x:row>
    <x:row r="41">
      <x:c r="A41" s="86"/>
      <x:c r="B41" s="86"/>
      <x:c r="C41" s="86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6"/>
      <x:c r="O41" s="86"/>
      <x:c r="P41" s="86"/>
      <x:c r="Q41" s="86"/>
      <x:c r="R41" s="86"/>
      <x:c r="S41" s="86"/>
      <x:c r="T41" s="86"/>
      <x:c r="U41" s="86"/>
      <x:c r="V41" s="86"/>
      <x:c r="W41" s="86"/>
      <x:c r="X41" s="86"/>
      <x:c r="Y41" s="86"/>
      <x:c r="Z41" s="86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6"/>
      <x:c r="O42" s="86"/>
      <x:c r="P42" s="86"/>
      <x:c r="Q42" s="86"/>
      <x:c r="R42" s="86"/>
      <x:c r="S42" s="86"/>
      <x:c r="T42" s="86"/>
      <x:c r="U42" s="86"/>
      <x:c r="V42" s="86"/>
      <x:c r="W42" s="86"/>
      <x:c r="X42" s="86"/>
      <x:c r="Y42" s="86"/>
      <x:c r="Z42" s="86"/>
    </x:row>
    <x:row r="43">
      <x:c r="A43" s="86"/>
      <x:c r="B43" s="86"/>
      <x:c r="C43" s="86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6"/>
      <x:c r="O43" s="86"/>
      <x:c r="P43" s="86"/>
      <x:c r="Q43" s="86"/>
      <x:c r="R43" s="86"/>
      <x:c r="S43" s="86"/>
      <x:c r="T43" s="86"/>
      <x:c r="U43" s="86"/>
      <x:c r="V43" s="86"/>
      <x:c r="W43" s="86"/>
      <x:c r="X43" s="86"/>
      <x:c r="Y43" s="86"/>
      <x:c r="Z43" s="86"/>
    </x:row>
    <x:row r="44">
      <x:c r="A44" s="86"/>
      <x:c r="B44" s="86"/>
      <x:c r="C44" s="86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6"/>
      <x:c r="O44" s="86"/>
      <x:c r="P44" s="86"/>
      <x:c r="Q44" s="86"/>
      <x:c r="R44" s="86"/>
      <x:c r="S44" s="86"/>
      <x:c r="T44" s="86"/>
      <x:c r="U44" s="86"/>
      <x:c r="V44" s="86"/>
      <x:c r="W44" s="86"/>
      <x:c r="X44" s="86"/>
      <x:c r="Y44" s="86"/>
      <x:c r="Z44" s="86"/>
    </x:row>
    <x:row r="45">
      <x:c r="A45" s="86"/>
      <x:c r="B45" s="86"/>
      <x:c r="C45" s="86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6"/>
      <x:c r="O45" s="86"/>
      <x:c r="P45" s="86"/>
      <x:c r="Q45" s="86"/>
      <x:c r="R45" s="86"/>
      <x:c r="S45" s="86"/>
      <x:c r="T45" s="86"/>
      <x:c r="U45" s="86"/>
      <x:c r="V45" s="86"/>
      <x:c r="W45" s="86"/>
      <x:c r="X45" s="86"/>
      <x:c r="Y45" s="86"/>
      <x:c r="Z45" s="86"/>
    </x:row>
    <x:row r="46">
      <x:c r="A46" s="86"/>
      <x:c r="B46" s="86"/>
      <x:c r="C46" s="86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6"/>
      <x:c r="O46" s="86"/>
      <x:c r="P46" s="86"/>
      <x:c r="Q46" s="86"/>
      <x:c r="R46" s="86"/>
      <x:c r="S46" s="86"/>
      <x:c r="T46" s="86"/>
      <x:c r="U46" s="86"/>
      <x:c r="V46" s="86"/>
      <x:c r="W46" s="86"/>
      <x:c r="X46" s="86"/>
      <x:c r="Y46" s="86"/>
      <x:c r="Z46" s="86"/>
    </x:row>
    <x:row r="47">
      <x:c r="A47" s="86"/>
      <x:c r="B47" s="86"/>
      <x:c r="C47" s="86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6"/>
      <x:c r="O47" s="86"/>
      <x:c r="P47" s="86"/>
      <x:c r="Q47" s="86"/>
      <x:c r="R47" s="86"/>
      <x:c r="S47" s="86"/>
      <x:c r="T47" s="86"/>
      <x:c r="U47" s="86"/>
      <x:c r="V47" s="86"/>
      <x:c r="W47" s="86"/>
      <x:c r="X47" s="86"/>
      <x:c r="Y47" s="86"/>
      <x:c r="Z47" s="86"/>
    </x:row>
    <x:row r="48">
      <x:c r="A48" s="86"/>
      <x:c r="B48" s="86"/>
      <x:c r="C48" s="86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6"/>
      <x:c r="O48" s="86"/>
      <x:c r="P48" s="86"/>
      <x:c r="Q48" s="86"/>
      <x:c r="R48" s="86"/>
      <x:c r="S48" s="86"/>
      <x:c r="T48" s="86"/>
      <x:c r="U48" s="86"/>
      <x:c r="V48" s="86"/>
      <x:c r="W48" s="86"/>
      <x:c r="X48" s="86"/>
      <x:c r="Y48" s="86"/>
      <x:c r="Z48" s="86"/>
    </x:row>
    <x:row r="49">
      <x:c r="A49" s="86"/>
      <x:c r="B49" s="86"/>
      <x:c r="C49" s="86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6"/>
      <x:c r="O49" s="86"/>
      <x:c r="P49" s="86"/>
      <x:c r="Q49" s="86"/>
      <x:c r="R49" s="86"/>
      <x:c r="S49" s="86"/>
      <x:c r="T49" s="86"/>
      <x:c r="U49" s="86"/>
      <x:c r="V49" s="86"/>
      <x:c r="W49" s="86"/>
      <x:c r="X49" s="86"/>
      <x:c r="Y49" s="86"/>
      <x:c r="Z49" s="86"/>
    </x:row>
    <x:row r="50">
      <x:c r="A50" s="86"/>
      <x:c r="B50" s="86"/>
      <x:c r="C50" s="86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6"/>
      <x:c r="O50" s="86"/>
      <x:c r="P50" s="86"/>
      <x:c r="Q50" s="86"/>
      <x:c r="R50" s="86"/>
      <x:c r="S50" s="86"/>
      <x:c r="T50" s="86"/>
      <x:c r="U50" s="86"/>
      <x:c r="V50" s="86"/>
      <x:c r="W50" s="86"/>
      <x:c r="X50" s="86"/>
      <x:c r="Y50" s="86"/>
      <x:c r="Z50" s="86"/>
    </x:row>
    <x:row r="51">
      <x:c r="A51" s="86"/>
      <x:c r="B51" s="86"/>
      <x:c r="C51" s="86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6"/>
      <x:c r="O51" s="86"/>
      <x:c r="P51" s="86"/>
      <x:c r="Q51" s="86"/>
      <x:c r="R51" s="86"/>
      <x:c r="S51" s="86"/>
      <x:c r="T51" s="86"/>
      <x:c r="U51" s="86"/>
      <x:c r="V51" s="86"/>
      <x:c r="W51" s="86"/>
      <x:c r="X51" s="86"/>
      <x:c r="Y51" s="86"/>
      <x:c r="Z51" s="86"/>
    </x:row>
    <x:row r="52">
      <x:c r="A52" s="86"/>
      <x:c r="B52" s="86"/>
      <x:c r="C52" s="86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6"/>
      <x:c r="O52" s="86"/>
      <x:c r="P52" s="86"/>
      <x:c r="Q52" s="86"/>
      <x:c r="R52" s="86"/>
      <x:c r="S52" s="86"/>
      <x:c r="T52" s="86"/>
      <x:c r="U52" s="86"/>
      <x:c r="V52" s="86"/>
      <x:c r="W52" s="86"/>
      <x:c r="X52" s="86"/>
      <x:c r="Y52" s="86"/>
      <x:c r="Z52" s="86"/>
    </x:row>
    <x:row r="53">
      <x:c r="A53" s="86"/>
      <x:c r="B53" s="86"/>
      <x:c r="C53" s="86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6"/>
      <x:c r="O53" s="86"/>
      <x:c r="P53" s="86"/>
      <x:c r="Q53" s="86"/>
      <x:c r="R53" s="86"/>
      <x:c r="S53" s="86"/>
      <x:c r="T53" s="86"/>
      <x:c r="U53" s="86"/>
      <x:c r="V53" s="86"/>
      <x:c r="W53" s="86"/>
      <x:c r="X53" s="86"/>
      <x:c r="Y53" s="86"/>
      <x:c r="Z53" s="86"/>
    </x:row>
    <x:row r="54">
      <x:c r="A54" s="86"/>
      <x:c r="B54" s="86"/>
      <x:c r="C54" s="86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6"/>
      <x:c r="O54" s="86"/>
      <x:c r="P54" s="86"/>
      <x:c r="Q54" s="86"/>
      <x:c r="R54" s="86"/>
      <x:c r="S54" s="86"/>
      <x:c r="T54" s="86"/>
      <x:c r="U54" s="86"/>
      <x:c r="V54" s="86"/>
      <x:c r="W54" s="86"/>
      <x:c r="X54" s="86"/>
      <x:c r="Y54" s="86"/>
      <x:c r="Z54" s="86"/>
    </x:row>
    <x:row r="55">
      <x:c r="A55" s="86"/>
      <x:c r="B55" s="86"/>
      <x:c r="C55" s="86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6"/>
      <x:c r="O55" s="86"/>
      <x:c r="P55" s="86"/>
      <x:c r="Q55" s="86"/>
      <x:c r="R55" s="86"/>
      <x:c r="S55" s="86"/>
      <x:c r="T55" s="86"/>
      <x:c r="U55" s="86"/>
      <x:c r="V55" s="86"/>
      <x:c r="W55" s="86"/>
      <x:c r="X55" s="86"/>
      <x:c r="Y55" s="86"/>
      <x:c r="Z55" s="86"/>
    </x:row>
    <x:row r="56">
      <x:c r="A56" s="86"/>
      <x:c r="B56" s="86"/>
      <x:c r="C56" s="86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6"/>
      <x:c r="O56" s="86"/>
      <x:c r="P56" s="86"/>
      <x:c r="Q56" s="86"/>
      <x:c r="R56" s="86"/>
      <x:c r="S56" s="86"/>
      <x:c r="T56" s="86"/>
      <x:c r="U56" s="86"/>
      <x:c r="V56" s="86"/>
      <x:c r="W56" s="86"/>
      <x:c r="X56" s="86"/>
      <x:c r="Y56" s="86"/>
      <x:c r="Z56" s="86"/>
    </x:row>
    <x:row r="57">
      <x:c r="A57" s="86"/>
      <x:c r="B57" s="86"/>
      <x:c r="C57" s="86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6"/>
      <x:c r="O57" s="86"/>
      <x:c r="P57" s="86"/>
      <x:c r="Q57" s="86"/>
      <x:c r="R57" s="86"/>
      <x:c r="S57" s="86"/>
      <x:c r="T57" s="86"/>
      <x:c r="U57" s="86"/>
      <x:c r="V57" s="86"/>
      <x:c r="W57" s="86"/>
      <x:c r="X57" s="86"/>
      <x:c r="Y57" s="86"/>
      <x:c r="Z57" s="86"/>
    </x:row>
    <x:row r="58">
      <x:c r="A58" s="86"/>
      <x:c r="B58" s="86"/>
      <x:c r="C58" s="86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6"/>
      <x:c r="O58" s="86"/>
      <x:c r="P58" s="86"/>
      <x:c r="Q58" s="86"/>
      <x:c r="R58" s="86"/>
      <x:c r="S58" s="86"/>
      <x:c r="T58" s="86"/>
      <x:c r="U58" s="86"/>
      <x:c r="V58" s="86"/>
      <x:c r="W58" s="86"/>
      <x:c r="X58" s="86"/>
      <x:c r="Y58" s="86"/>
      <x:c r="Z58" s="86"/>
    </x:row>
    <x:row r="59">
      <x:c r="A59" s="86"/>
      <x:c r="B59" s="86"/>
      <x:c r="C59" s="86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6"/>
      <x:c r="O59" s="86"/>
      <x:c r="P59" s="86"/>
      <x:c r="Q59" s="86"/>
      <x:c r="R59" s="86"/>
      <x:c r="S59" s="86"/>
      <x:c r="T59" s="86"/>
      <x:c r="U59" s="86"/>
      <x:c r="V59" s="86"/>
      <x:c r="W59" s="86"/>
      <x:c r="X59" s="86"/>
      <x:c r="Y59" s="86"/>
      <x:c r="Z59" s="86"/>
    </x:row>
    <x:row r="60">
      <x:c r="A60" s="86"/>
      <x:c r="B60" s="86"/>
      <x:c r="C60" s="86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6"/>
      <x:c r="O60" s="86"/>
      <x:c r="P60" s="86"/>
      <x:c r="Q60" s="86"/>
      <x:c r="R60" s="86"/>
      <x:c r="S60" s="86"/>
      <x:c r="T60" s="86"/>
      <x:c r="U60" s="86"/>
      <x:c r="V60" s="86"/>
      <x:c r="W60" s="86"/>
      <x:c r="X60" s="86"/>
      <x:c r="Y60" s="86"/>
      <x:c r="Z60" s="86"/>
    </x:row>
    <x:row r="61">
      <x:c r="A61" s="86"/>
      <x:c r="B61" s="86"/>
      <x:c r="C61" s="86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6"/>
      <x:c r="O61" s="86"/>
      <x:c r="P61" s="86"/>
      <x:c r="Q61" s="86"/>
      <x:c r="R61" s="86"/>
      <x:c r="S61" s="86"/>
      <x:c r="T61" s="86"/>
      <x:c r="U61" s="86"/>
      <x:c r="V61" s="86"/>
      <x:c r="W61" s="86"/>
      <x:c r="X61" s="86"/>
      <x:c r="Y61" s="86"/>
      <x:c r="Z61" s="86"/>
    </x:row>
    <x:row r="62">
      <x:c r="A62" s="86"/>
      <x:c r="B62" s="86"/>
      <x:c r="C62" s="86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6"/>
      <x:c r="O62" s="86"/>
      <x:c r="P62" s="86"/>
      <x:c r="Q62" s="86"/>
      <x:c r="R62" s="86"/>
      <x:c r="S62" s="86"/>
      <x:c r="T62" s="86"/>
      <x:c r="U62" s="86"/>
      <x:c r="V62" s="86"/>
      <x:c r="W62" s="86"/>
      <x:c r="X62" s="86"/>
      <x:c r="Y62" s="86"/>
      <x:c r="Z62" s="86"/>
    </x:row>
    <x:row r="63">
      <x:c r="A63" s="86"/>
      <x:c r="B63" s="86"/>
      <x:c r="C63" s="86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6"/>
      <x:c r="O63" s="86"/>
      <x:c r="P63" s="86"/>
      <x:c r="Q63" s="86"/>
      <x:c r="R63" s="86"/>
      <x:c r="S63" s="86"/>
      <x:c r="T63" s="86"/>
      <x:c r="U63" s="86"/>
      <x:c r="V63" s="86"/>
      <x:c r="W63" s="86"/>
      <x:c r="X63" s="86"/>
      <x:c r="Y63" s="86"/>
      <x:c r="Z63" s="86"/>
    </x:row>
    <x:row r="64">
      <x:c r="A64" s="86"/>
      <x:c r="B64" s="86"/>
      <x:c r="C64" s="86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6"/>
      <x:c r="O64" s="86"/>
      <x:c r="P64" s="86"/>
      <x:c r="Q64" s="86"/>
      <x:c r="R64" s="86"/>
      <x:c r="S64" s="86"/>
      <x:c r="T64" s="86"/>
      <x:c r="U64" s="86"/>
      <x:c r="V64" s="86"/>
      <x:c r="W64" s="86"/>
      <x:c r="X64" s="86"/>
      <x:c r="Y64" s="86"/>
      <x:c r="Z64" s="86"/>
    </x:row>
    <x:row r="65">
      <x:c r="A65" s="86"/>
      <x:c r="B65" s="86"/>
      <x:c r="C65" s="86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6"/>
      <x:c r="O65" s="86"/>
      <x:c r="P65" s="86"/>
      <x:c r="Q65" s="86"/>
      <x:c r="R65" s="86"/>
      <x:c r="S65" s="86"/>
      <x:c r="T65" s="86"/>
      <x:c r="U65" s="86"/>
      <x:c r="V65" s="86"/>
      <x:c r="W65" s="86"/>
      <x:c r="X65" s="86"/>
      <x:c r="Y65" s="86"/>
      <x:c r="Z65" s="86"/>
    </x:row>
    <x:row r="66">
      <x:c r="A66" s="86"/>
      <x:c r="B66" s="86"/>
      <x:c r="C66" s="86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6"/>
      <x:c r="O66" s="86"/>
      <x:c r="P66" s="86"/>
      <x:c r="Q66" s="86"/>
      <x:c r="R66" s="86"/>
      <x:c r="S66" s="86"/>
      <x:c r="T66" s="86"/>
      <x:c r="U66" s="86"/>
      <x:c r="V66" s="86"/>
      <x:c r="W66" s="86"/>
      <x:c r="X66" s="86"/>
      <x:c r="Y66" s="86"/>
      <x:c r="Z66" s="86"/>
    </x:row>
    <x:row r="67">
      <x:c r="A67" s="86"/>
      <x:c r="B67" s="86"/>
      <x:c r="C67" s="86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6"/>
      <x:c r="O67" s="86"/>
      <x:c r="P67" s="86"/>
      <x:c r="Q67" s="86"/>
      <x:c r="R67" s="86"/>
      <x:c r="S67" s="86"/>
      <x:c r="T67" s="86"/>
      <x:c r="U67" s="86"/>
      <x:c r="V67" s="86"/>
      <x:c r="W67" s="86"/>
      <x:c r="X67" s="86"/>
      <x:c r="Y67" s="86"/>
      <x:c r="Z67" s="86"/>
    </x:row>
    <x:row r="68">
      <x:c r="A68" s="86"/>
      <x:c r="B68" s="86"/>
      <x:c r="C68" s="86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6"/>
      <x:c r="O68" s="86"/>
      <x:c r="P68" s="86"/>
      <x:c r="Q68" s="86"/>
      <x:c r="R68" s="86"/>
      <x:c r="S68" s="86"/>
      <x:c r="T68" s="86"/>
      <x:c r="U68" s="86"/>
      <x:c r="V68" s="86"/>
      <x:c r="W68" s="86"/>
      <x:c r="X68" s="86"/>
      <x:c r="Y68" s="86"/>
      <x:c r="Z68" s="86"/>
    </x:row>
    <x:row r="69">
      <x:c r="A69" s="86"/>
      <x:c r="B69" s="86"/>
      <x:c r="C69" s="86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6"/>
      <x:c r="O69" s="86"/>
      <x:c r="P69" s="86"/>
      <x:c r="Q69" s="86"/>
      <x:c r="R69" s="86"/>
      <x:c r="S69" s="86"/>
      <x:c r="T69" s="86"/>
      <x:c r="U69" s="86"/>
      <x:c r="V69" s="86"/>
      <x:c r="W69" s="86"/>
      <x:c r="X69" s="86"/>
      <x:c r="Y69" s="86"/>
      <x:c r="Z69" s="86"/>
    </x:row>
    <x:row r="70">
      <x:c r="A70" s="86"/>
      <x:c r="B70" s="86"/>
      <x:c r="C70" s="86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6"/>
      <x:c r="O70" s="86"/>
      <x:c r="P70" s="86"/>
      <x:c r="Q70" s="86"/>
      <x:c r="R70" s="86"/>
      <x:c r="S70" s="86"/>
      <x:c r="T70" s="86"/>
      <x:c r="U70" s="86"/>
      <x:c r="V70" s="86"/>
      <x:c r="W70" s="86"/>
      <x:c r="X70" s="86"/>
      <x:c r="Y70" s="86"/>
      <x:c r="Z70" s="86"/>
    </x:row>
    <x:row r="71">
      <x:c r="A71" s="86"/>
      <x:c r="B71" s="86"/>
      <x:c r="C71" s="86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6"/>
      <x:c r="O71" s="86"/>
      <x:c r="P71" s="86"/>
      <x:c r="Q71" s="86"/>
      <x:c r="R71" s="86"/>
      <x:c r="S71" s="86"/>
      <x:c r="T71" s="86"/>
      <x:c r="U71" s="86"/>
      <x:c r="V71" s="86"/>
      <x:c r="W71" s="86"/>
      <x:c r="X71" s="86"/>
      <x:c r="Y71" s="86"/>
      <x:c r="Z71" s="86"/>
    </x:row>
    <x:row r="72">
      <x:c r="A72" s="86"/>
      <x:c r="B72" s="86"/>
      <x:c r="C72" s="86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6"/>
      <x:c r="O72" s="86"/>
      <x:c r="P72" s="86"/>
      <x:c r="Q72" s="86"/>
      <x:c r="R72" s="86"/>
      <x:c r="S72" s="86"/>
      <x:c r="T72" s="86"/>
      <x:c r="U72" s="86"/>
      <x:c r="V72" s="86"/>
      <x:c r="W72" s="86"/>
      <x:c r="X72" s="86"/>
      <x:c r="Y72" s="86"/>
      <x:c r="Z72" s="86"/>
    </x:row>
    <x:row r="73">
      <x:c r="A73" s="86"/>
      <x:c r="B73" s="86"/>
      <x:c r="C73" s="86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6"/>
      <x:c r="O73" s="86"/>
      <x:c r="P73" s="86"/>
      <x:c r="Q73" s="86"/>
      <x:c r="R73" s="86"/>
      <x:c r="S73" s="86"/>
      <x:c r="T73" s="86"/>
      <x:c r="U73" s="86"/>
      <x:c r="V73" s="86"/>
      <x:c r="W73" s="86"/>
      <x:c r="X73" s="86"/>
      <x:c r="Y73" s="86"/>
      <x:c r="Z73" s="86"/>
    </x:row>
    <x:row r="74">
      <x:c r="A74" s="86"/>
      <x:c r="B74" s="86"/>
      <x:c r="C74" s="86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6"/>
      <x:c r="O74" s="86"/>
      <x:c r="P74" s="86"/>
      <x:c r="Q74" s="86"/>
      <x:c r="R74" s="86"/>
      <x:c r="S74" s="86"/>
      <x:c r="T74" s="86"/>
      <x:c r="U74" s="86"/>
      <x:c r="V74" s="86"/>
      <x:c r="W74" s="86"/>
      <x:c r="X74" s="86"/>
      <x:c r="Y74" s="86"/>
      <x:c r="Z74" s="86"/>
    </x:row>
    <x:row r="75">
      <x:c r="A75" s="86"/>
      <x:c r="B75" s="86"/>
      <x:c r="C75" s="86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6"/>
      <x:c r="O75" s="86"/>
      <x:c r="P75" s="86"/>
      <x:c r="Q75" s="86"/>
      <x:c r="R75" s="86"/>
      <x:c r="S75" s="86"/>
      <x:c r="T75" s="86"/>
      <x:c r="U75" s="86"/>
      <x:c r="V75" s="86"/>
      <x:c r="W75" s="86"/>
      <x:c r="X75" s="86"/>
      <x:c r="Y75" s="86"/>
      <x:c r="Z75" s="86"/>
    </x:row>
    <x:row r="76">
      <x:c r="A76" s="86"/>
      <x:c r="B76" s="86"/>
      <x:c r="C76" s="86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6"/>
      <x:c r="O76" s="86"/>
      <x:c r="P76" s="86"/>
      <x:c r="Q76" s="86"/>
      <x:c r="R76" s="86"/>
      <x:c r="S76" s="86"/>
      <x:c r="T76" s="86"/>
      <x:c r="U76" s="86"/>
      <x:c r="V76" s="86"/>
      <x:c r="W76" s="86"/>
      <x:c r="X76" s="86"/>
      <x:c r="Y76" s="86"/>
      <x:c r="Z76" s="86"/>
    </x:row>
    <x:row r="77">
      <x:c r="A77" s="86"/>
      <x:c r="B77" s="86"/>
      <x:c r="C77" s="86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6"/>
      <x:c r="O77" s="86"/>
      <x:c r="P77" s="86"/>
      <x:c r="Q77" s="86"/>
      <x:c r="R77" s="86"/>
      <x:c r="S77" s="86"/>
      <x:c r="T77" s="86"/>
      <x:c r="U77" s="86"/>
      <x:c r="V77" s="86"/>
      <x:c r="W77" s="86"/>
      <x:c r="X77" s="86"/>
      <x:c r="Y77" s="86"/>
      <x:c r="Z77" s="86"/>
    </x:row>
    <x:row r="78">
      <x:c r="A78" s="86"/>
      <x:c r="B78" s="86"/>
      <x:c r="C78" s="86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6"/>
      <x:c r="O78" s="86"/>
      <x:c r="P78" s="86"/>
      <x:c r="Q78" s="86"/>
      <x:c r="R78" s="86"/>
      <x:c r="S78" s="86"/>
      <x:c r="T78" s="86"/>
      <x:c r="U78" s="86"/>
      <x:c r="V78" s="86"/>
      <x:c r="W78" s="86"/>
      <x:c r="X78" s="86"/>
      <x:c r="Y78" s="86"/>
      <x:c r="Z78" s="86"/>
    </x:row>
    <x:row r="79">
      <x:c r="A79" s="86"/>
      <x:c r="B79" s="86"/>
      <x:c r="C79" s="86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6"/>
      <x:c r="O79" s="86"/>
      <x:c r="P79" s="86"/>
      <x:c r="Q79" s="86"/>
      <x:c r="R79" s="86"/>
      <x:c r="S79" s="86"/>
      <x:c r="T79" s="86"/>
      <x:c r="U79" s="86"/>
      <x:c r="V79" s="86"/>
      <x:c r="W79" s="86"/>
      <x:c r="X79" s="86"/>
      <x:c r="Y79" s="86"/>
      <x:c r="Z79" s="86"/>
    </x:row>
    <x:row r="80">
      <x:c r="A80" s="86"/>
      <x:c r="B80" s="86"/>
      <x:c r="C80" s="86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6"/>
      <x:c r="O80" s="86"/>
      <x:c r="P80" s="86"/>
      <x:c r="Q80" s="86"/>
      <x:c r="R80" s="86"/>
      <x:c r="S80" s="86"/>
      <x:c r="T80" s="86"/>
      <x:c r="U80" s="86"/>
      <x:c r="V80" s="86"/>
      <x:c r="W80" s="86"/>
      <x:c r="X80" s="86"/>
      <x:c r="Y80" s="86"/>
      <x:c r="Z80" s="86"/>
    </x:row>
    <x:row r="81">
      <x:c r="A81" s="86"/>
      <x:c r="B81" s="86"/>
      <x:c r="C81" s="86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6"/>
      <x:c r="O81" s="86"/>
      <x:c r="P81" s="86"/>
      <x:c r="Q81" s="86"/>
      <x:c r="R81" s="86"/>
      <x:c r="S81" s="86"/>
      <x:c r="T81" s="86"/>
      <x:c r="U81" s="86"/>
      <x:c r="V81" s="86"/>
      <x:c r="W81" s="86"/>
      <x:c r="X81" s="86"/>
      <x:c r="Y81" s="86"/>
      <x:c r="Z81" s="86"/>
    </x:row>
    <x:row r="82">
      <x:c r="A82" s="86"/>
      <x:c r="B82" s="86"/>
      <x:c r="C82" s="86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6"/>
      <x:c r="O82" s="86"/>
      <x:c r="P82" s="86"/>
      <x:c r="Q82" s="86"/>
      <x:c r="R82" s="86"/>
      <x:c r="S82" s="86"/>
      <x:c r="T82" s="86"/>
      <x:c r="U82" s="86"/>
      <x:c r="V82" s="86"/>
      <x:c r="W82" s="86"/>
      <x:c r="X82" s="86"/>
      <x:c r="Y82" s="86"/>
      <x:c r="Z82" s="86"/>
    </x:row>
    <x:row r="83">
      <x:c r="A83" s="86"/>
      <x:c r="B83" s="86"/>
      <x:c r="C83" s="86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6"/>
      <x:c r="O83" s="86"/>
      <x:c r="P83" s="86"/>
      <x:c r="Q83" s="86"/>
      <x:c r="R83" s="86"/>
      <x:c r="S83" s="86"/>
      <x:c r="T83" s="86"/>
      <x:c r="U83" s="86"/>
      <x:c r="V83" s="86"/>
      <x:c r="W83" s="86"/>
      <x:c r="X83" s="86"/>
      <x:c r="Y83" s="86"/>
      <x:c r="Z83" s="86"/>
    </x:row>
    <x:row r="84">
      <x:c r="A84" s="86"/>
      <x:c r="B84" s="86"/>
      <x:c r="C84" s="86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6"/>
      <x:c r="O84" s="86"/>
      <x:c r="P84" s="86"/>
      <x:c r="Q84" s="86"/>
      <x:c r="R84" s="86"/>
      <x:c r="S84" s="86"/>
      <x:c r="T84" s="86"/>
      <x:c r="U84" s="86"/>
      <x:c r="V84" s="86"/>
      <x:c r="W84" s="86"/>
      <x:c r="X84" s="86"/>
      <x:c r="Y84" s="86"/>
      <x:c r="Z84" s="86"/>
    </x:row>
    <x:row r="85">
      <x:c r="A85" s="86"/>
      <x:c r="B85" s="86"/>
      <x:c r="C85" s="86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6"/>
      <x:c r="O85" s="86"/>
      <x:c r="P85" s="86"/>
      <x:c r="Q85" s="86"/>
      <x:c r="R85" s="86"/>
      <x:c r="S85" s="86"/>
      <x:c r="T85" s="86"/>
      <x:c r="U85" s="86"/>
      <x:c r="V85" s="86"/>
      <x:c r="W85" s="86"/>
      <x:c r="X85" s="86"/>
      <x:c r="Y85" s="86"/>
      <x:c r="Z85" s="86"/>
    </x:row>
    <x:row r="86">
      <x:c r="A86" s="86"/>
      <x:c r="B86" s="86"/>
      <x:c r="C86" s="86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6"/>
      <x:c r="O86" s="86"/>
      <x:c r="P86" s="86"/>
      <x:c r="Q86" s="86"/>
      <x:c r="R86" s="86"/>
      <x:c r="S86" s="86"/>
      <x:c r="T86" s="86"/>
      <x:c r="U86" s="86"/>
      <x:c r="V86" s="86"/>
      <x:c r="W86" s="86"/>
      <x:c r="X86" s="86"/>
      <x:c r="Y86" s="86"/>
      <x:c r="Z86" s="86"/>
    </x:row>
    <x:row r="87">
      <x:c r="A87" s="86"/>
      <x:c r="B87" s="86"/>
      <x:c r="C87" s="86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6"/>
      <x:c r="O87" s="86"/>
      <x:c r="P87" s="86"/>
      <x:c r="Q87" s="86"/>
      <x:c r="R87" s="86"/>
      <x:c r="S87" s="86"/>
      <x:c r="T87" s="86"/>
      <x:c r="U87" s="86"/>
      <x:c r="V87" s="86"/>
      <x:c r="W87" s="86"/>
      <x:c r="X87" s="86"/>
      <x:c r="Y87" s="86"/>
      <x:c r="Z87" s="86"/>
    </x:row>
    <x:row r="88">
      <x:c r="A88" s="86"/>
      <x:c r="B88" s="86"/>
      <x:c r="C88" s="86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6"/>
      <x:c r="O88" s="86"/>
      <x:c r="P88" s="86"/>
      <x:c r="Q88" s="86"/>
      <x:c r="R88" s="86"/>
      <x:c r="S88" s="86"/>
      <x:c r="T88" s="86"/>
      <x:c r="U88" s="86"/>
      <x:c r="V88" s="86"/>
      <x:c r="W88" s="86"/>
      <x:c r="X88" s="86"/>
      <x:c r="Y88" s="86"/>
      <x:c r="Z88" s="86"/>
    </x:row>
    <x:row r="89">
      <x:c r="A89" s="86"/>
      <x:c r="B89" s="86"/>
      <x:c r="C89" s="86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6"/>
      <x:c r="O89" s="86"/>
      <x:c r="P89" s="86"/>
      <x:c r="Q89" s="86"/>
      <x:c r="R89" s="86"/>
      <x:c r="S89" s="86"/>
      <x:c r="T89" s="86"/>
      <x:c r="U89" s="86"/>
      <x:c r="V89" s="86"/>
      <x:c r="W89" s="86"/>
      <x:c r="X89" s="86"/>
      <x:c r="Y89" s="86"/>
      <x:c r="Z89" s="86"/>
    </x:row>
    <x:row r="90">
      <x:c r="A90" s="86"/>
      <x:c r="B90" s="86"/>
      <x:c r="C90" s="86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6"/>
      <x:c r="O90" s="86"/>
      <x:c r="P90" s="86"/>
      <x:c r="Q90" s="86"/>
      <x:c r="R90" s="86"/>
      <x:c r="S90" s="86"/>
      <x:c r="T90" s="86"/>
      <x:c r="U90" s="86"/>
      <x:c r="V90" s="86"/>
      <x:c r="W90" s="86"/>
      <x:c r="X90" s="86"/>
      <x:c r="Y90" s="86"/>
      <x:c r="Z90" s="86"/>
    </x:row>
    <x:row r="91">
      <x:c r="A91" s="86"/>
      <x:c r="B91" s="86"/>
      <x:c r="C91" s="86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6"/>
      <x:c r="O91" s="86"/>
      <x:c r="P91" s="86"/>
      <x:c r="Q91" s="86"/>
      <x:c r="R91" s="86"/>
      <x:c r="S91" s="86"/>
      <x:c r="T91" s="86"/>
      <x:c r="U91" s="86"/>
      <x:c r="V91" s="86"/>
      <x:c r="W91" s="86"/>
      <x:c r="X91" s="86"/>
      <x:c r="Y91" s="86"/>
      <x:c r="Z91" s="86"/>
    </x:row>
    <x:row r="92">
      <x:c r="A92" s="86"/>
      <x:c r="B92" s="86"/>
      <x:c r="C92" s="86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6"/>
      <x:c r="O92" s="86"/>
      <x:c r="P92" s="86"/>
      <x:c r="Q92" s="86"/>
      <x:c r="R92" s="86"/>
      <x:c r="S92" s="86"/>
      <x:c r="T92" s="86"/>
      <x:c r="U92" s="86"/>
      <x:c r="V92" s="86"/>
      <x:c r="W92" s="86"/>
      <x:c r="X92" s="86"/>
      <x:c r="Y92" s="86"/>
      <x:c r="Z92" s="86"/>
    </x:row>
    <x:row r="93">
      <x:c r="A93" s="86"/>
      <x:c r="B93" s="86"/>
      <x:c r="C93" s="86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6"/>
      <x:c r="O93" s="86"/>
      <x:c r="P93" s="86"/>
      <x:c r="Q93" s="86"/>
      <x:c r="R93" s="86"/>
      <x:c r="S93" s="86"/>
      <x:c r="T93" s="86"/>
      <x:c r="U93" s="86"/>
      <x:c r="V93" s="86"/>
      <x:c r="W93" s="86"/>
      <x:c r="X93" s="86"/>
      <x:c r="Y93" s="86"/>
      <x:c r="Z93" s="86"/>
    </x:row>
    <x:row r="94">
      <x:c r="A94" s="86"/>
      <x:c r="B94" s="86"/>
      <x:c r="C94" s="86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6"/>
      <x:c r="O94" s="86"/>
      <x:c r="P94" s="86"/>
      <x:c r="Q94" s="86"/>
      <x:c r="R94" s="86"/>
      <x:c r="S94" s="86"/>
      <x:c r="T94" s="86"/>
      <x:c r="U94" s="86"/>
      <x:c r="V94" s="86"/>
      <x:c r="W94" s="86"/>
      <x:c r="X94" s="86"/>
      <x:c r="Y94" s="86"/>
      <x:c r="Z94" s="86"/>
    </x:row>
    <x:row r="95">
      <x:c r="A95" s="86"/>
      <x:c r="B95" s="86"/>
      <x:c r="C95" s="86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6"/>
      <x:c r="O95" s="86"/>
      <x:c r="P95" s="86"/>
      <x:c r="Q95" s="86"/>
      <x:c r="R95" s="86"/>
      <x:c r="S95" s="86"/>
      <x:c r="T95" s="86"/>
      <x:c r="U95" s="86"/>
      <x:c r="V95" s="86"/>
      <x:c r="W95" s="86"/>
      <x:c r="X95" s="86"/>
      <x:c r="Y95" s="86"/>
      <x:c r="Z95" s="86"/>
    </x:row>
    <x:row r="96">
      <x:c r="A96" s="86"/>
      <x:c r="B96" s="86"/>
      <x:c r="C96" s="86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6"/>
      <x:c r="O96" s="86"/>
      <x:c r="P96" s="86"/>
      <x:c r="Q96" s="86"/>
      <x:c r="R96" s="86"/>
      <x:c r="S96" s="86"/>
      <x:c r="T96" s="86"/>
      <x:c r="U96" s="86"/>
      <x:c r="V96" s="86"/>
      <x:c r="W96" s="86"/>
      <x:c r="X96" s="86"/>
      <x:c r="Y96" s="86"/>
      <x:c r="Z96" s="86"/>
    </x:row>
    <x:row r="97">
      <x:c r="A97" s="86"/>
      <x:c r="B97" s="86"/>
      <x:c r="C97" s="86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6"/>
      <x:c r="O97" s="86"/>
      <x:c r="P97" s="86"/>
      <x:c r="Q97" s="86"/>
      <x:c r="R97" s="86"/>
      <x:c r="S97" s="86"/>
      <x:c r="T97" s="86"/>
      <x:c r="U97" s="86"/>
      <x:c r="V97" s="86"/>
      <x:c r="W97" s="86"/>
      <x:c r="X97" s="86"/>
      <x:c r="Y97" s="86"/>
      <x:c r="Z97" s="86"/>
    </x:row>
    <x:row r="98">
      <x:c r="A98" s="86"/>
      <x:c r="B98" s="86"/>
      <x:c r="C98" s="86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6"/>
      <x:c r="O98" s="86"/>
      <x:c r="P98" s="86"/>
      <x:c r="Q98" s="86"/>
      <x:c r="R98" s="86"/>
      <x:c r="S98" s="86"/>
      <x:c r="T98" s="86"/>
      <x:c r="U98" s="86"/>
      <x:c r="V98" s="86"/>
      <x:c r="W98" s="86"/>
      <x:c r="X98" s="86"/>
      <x:c r="Y98" s="86"/>
      <x:c r="Z98" s="86"/>
    </x:row>
    <x:row r="99">
      <x:c r="A99" s="86"/>
      <x:c r="B99" s="86"/>
      <x:c r="C99" s="86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6"/>
      <x:c r="O99" s="86"/>
      <x:c r="P99" s="86"/>
      <x:c r="Q99" s="86"/>
      <x:c r="R99" s="86"/>
      <x:c r="S99" s="86"/>
      <x:c r="T99" s="86"/>
      <x:c r="U99" s="86"/>
      <x:c r="V99" s="86"/>
      <x:c r="W99" s="86"/>
      <x:c r="X99" s="86"/>
      <x:c r="Y99" s="86"/>
      <x:c r="Z99" s="86"/>
    </x:row>
    <x:row r="100">
      <x:c r="A100" s="86"/>
      <x:c r="B100" s="86"/>
      <x:c r="C100" s="86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6"/>
      <x:c r="O100" s="86"/>
      <x:c r="P100" s="86"/>
      <x:c r="Q100" s="86"/>
      <x:c r="R100" s="86"/>
      <x:c r="S100" s="86"/>
      <x:c r="T100" s="86"/>
      <x:c r="U100" s="86"/>
      <x:c r="V100" s="86"/>
      <x:c r="W100" s="86"/>
      <x:c r="X100" s="86"/>
      <x:c r="Y100" s="86"/>
      <x:c r="Z100" s="86"/>
    </x:row>
  </x:sheetData>
  <x:mergeCells>
    <x:mergeCell ref="A1:D1"/>
  </x:mergeCells>
  <x:pageMargins left="0.7" right="0.7" top="0.75" bottom="0.75" header="0.3" footer="0.3"/>
</x:worksheet>
</file>